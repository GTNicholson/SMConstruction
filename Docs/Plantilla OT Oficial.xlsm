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\\192.168.0.5\red\PRODUCCION\MUEBLES\Production System 2019\"/>
    </mc:Choice>
  </mc:AlternateContent>
  <bookViews>
    <workbookView xWindow="0" yWindow="0" windowWidth="20490" windowHeight="7755" activeTab="1"/>
  </bookViews>
  <sheets>
    <sheet name="caratula" sheetId="17" r:id="rId1"/>
    <sheet name="LMP" sheetId="14" r:id="rId2"/>
    <sheet name="BD C10" sheetId="16" state="hidden" r:id="rId3"/>
    <sheet name="Solicitud" sheetId="3" state="hidden" r:id="rId4"/>
    <sheet name="LMR" sheetId="18" r:id="rId5"/>
  </sheets>
  <definedNames>
    <definedName name="_xlnm._FilterDatabase" localSheetId="0" hidden="1">caratula!$F$6:$K$7</definedName>
    <definedName name="_xlnm.Print_Area" localSheetId="0">caratula!$A$1:$K$45</definedName>
    <definedName name="_xlnm.Print_Area" localSheetId="1">LMP!$A$1:$P$52</definedName>
    <definedName name="_xlnm.Print_Area" localSheetId="4">LMR!$A$1:$I$69</definedName>
  </definedNames>
  <calcPr calcId="152511" concurrentCalc="0"/>
  <pivotCaches>
    <pivotCache cacheId="0" r:id="rId6"/>
    <pivotCache cacheId="1" r:id="rId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9" i="18" l="1"/>
  <c r="E35" i="14"/>
  <c r="F35" i="14"/>
  <c r="H35" i="14"/>
  <c r="J35" i="14"/>
  <c r="M35" i="14"/>
  <c r="E36" i="14"/>
  <c r="F36" i="14"/>
  <c r="H36" i="14"/>
  <c r="J36" i="14"/>
  <c r="M36" i="14"/>
  <c r="L35" i="14"/>
  <c r="L36" i="14"/>
  <c r="F32" i="14"/>
  <c r="H32" i="14"/>
  <c r="J32" i="14"/>
  <c r="M32" i="14"/>
  <c r="F33" i="14"/>
  <c r="H33" i="14"/>
  <c r="J33" i="14"/>
  <c r="M33" i="14"/>
  <c r="E34" i="14"/>
  <c r="F34" i="14"/>
  <c r="H34" i="14"/>
  <c r="J34" i="14"/>
  <c r="M34" i="14"/>
  <c r="E37" i="14"/>
  <c r="F37" i="14"/>
  <c r="H37" i="14"/>
  <c r="J37" i="14"/>
  <c r="M37" i="14"/>
  <c r="L32" i="14"/>
  <c r="L33" i="14"/>
  <c r="L34" i="14"/>
  <c r="L37" i="14"/>
  <c r="B9" i="18"/>
  <c r="N6" i="14"/>
  <c r="C16" i="14"/>
  <c r="D16" i="14"/>
  <c r="F16" i="14"/>
  <c r="H16" i="14"/>
  <c r="K16" i="14"/>
  <c r="C17" i="14"/>
  <c r="D17" i="14"/>
  <c r="F17" i="14"/>
  <c r="H17" i="14"/>
  <c r="K17" i="14"/>
  <c r="C18" i="14"/>
  <c r="D18" i="14"/>
  <c r="F18" i="14"/>
  <c r="H18" i="14"/>
  <c r="K18" i="14"/>
  <c r="C19" i="14"/>
  <c r="D19" i="14"/>
  <c r="F19" i="14"/>
  <c r="H19" i="14"/>
  <c r="K19" i="14"/>
  <c r="C20" i="14"/>
  <c r="D20" i="14"/>
  <c r="F20" i="14"/>
  <c r="H20" i="14"/>
  <c r="K20" i="14"/>
  <c r="C21" i="14"/>
  <c r="D21" i="14"/>
  <c r="F21" i="14"/>
  <c r="H21" i="14"/>
  <c r="K21" i="14"/>
  <c r="C22" i="14"/>
  <c r="D22" i="14"/>
  <c r="F22" i="14"/>
  <c r="H22" i="14"/>
  <c r="K22" i="14"/>
  <c r="C23" i="14"/>
  <c r="D23" i="14"/>
  <c r="F23" i="14"/>
  <c r="H23" i="14"/>
  <c r="K23" i="14"/>
  <c r="C24" i="14"/>
  <c r="D24" i="14"/>
  <c r="F24" i="14"/>
  <c r="H24" i="14"/>
  <c r="K24" i="14"/>
  <c r="C25" i="14"/>
  <c r="D25" i="14"/>
  <c r="F25" i="14"/>
  <c r="H25" i="14"/>
  <c r="K25" i="14"/>
  <c r="H15" i="14"/>
  <c r="J15" i="14"/>
  <c r="J16" i="14"/>
  <c r="J17" i="14"/>
  <c r="J18" i="14"/>
  <c r="J19" i="14"/>
  <c r="J20" i="14"/>
  <c r="J21" i="14"/>
  <c r="J22" i="14"/>
  <c r="J23" i="14"/>
  <c r="J24" i="14"/>
  <c r="J25" i="14"/>
  <c r="H14" i="14"/>
  <c r="F14" i="14"/>
  <c r="F15" i="14"/>
  <c r="D14" i="14"/>
  <c r="D15" i="14"/>
  <c r="C14" i="14"/>
  <c r="C15" i="14"/>
  <c r="C26" i="14"/>
  <c r="C13" i="14"/>
  <c r="C12" i="14"/>
  <c r="G6" i="14"/>
  <c r="E31" i="14"/>
  <c r="F31" i="14"/>
  <c r="H31" i="14"/>
  <c r="J31" i="14"/>
  <c r="M31" i="14"/>
  <c r="M29" i="14"/>
  <c r="L31" i="14"/>
  <c r="D12" i="14"/>
  <c r="D13" i="14"/>
  <c r="D26" i="14"/>
  <c r="H13" i="14"/>
  <c r="J13" i="14"/>
  <c r="J14" i="14"/>
  <c r="H26" i="14"/>
  <c r="J26" i="14"/>
  <c r="H12" i="14"/>
  <c r="J12" i="14"/>
  <c r="F13" i="14"/>
  <c r="F26" i="14"/>
  <c r="F12" i="14"/>
  <c r="N1" i="14"/>
  <c r="C9" i="18"/>
  <c r="B6" i="18"/>
  <c r="A6" i="18"/>
  <c r="C6" i="14"/>
  <c r="A6" i="14"/>
  <c r="K26" i="14"/>
  <c r="K13" i="14"/>
  <c r="K12" i="14"/>
  <c r="K14" i="14"/>
  <c r="K15" i="14"/>
  <c r="D2" i="17"/>
  <c r="K9" i="14"/>
  <c r="Z8" i="18"/>
  <c r="B5" i="16"/>
</calcChain>
</file>

<file path=xl/sharedStrings.xml><?xml version="1.0" encoding="utf-8"?>
<sst xmlns="http://schemas.openxmlformats.org/spreadsheetml/2006/main" count="233" uniqueCount="159">
  <si>
    <t>Especie</t>
  </si>
  <si>
    <t>Cantidad</t>
  </si>
  <si>
    <t>PRODUCTO</t>
  </si>
  <si>
    <t>COMPONENTE</t>
  </si>
  <si>
    <t>Departamento de Ingeniería</t>
  </si>
  <si>
    <t>CLIENTE</t>
  </si>
  <si>
    <t>OT</t>
  </si>
  <si>
    <t>FECHA</t>
  </si>
  <si>
    <t>Calidad</t>
  </si>
  <si>
    <t>Grosor basto plg</t>
  </si>
  <si>
    <t>bruto---&gt;basto</t>
  </si>
  <si>
    <t>% calculado</t>
  </si>
  <si>
    <t>Ancho bruto plg</t>
  </si>
  <si>
    <t>Largo bruto (pie)</t>
  </si>
  <si>
    <t>PIES TABLARES bastos</t>
  </si>
  <si>
    <t>CODIGO</t>
  </si>
  <si>
    <t>Total general</t>
  </si>
  <si>
    <t>Suma de PT bruto</t>
  </si>
  <si>
    <t>Material</t>
  </si>
  <si>
    <t>Madera</t>
  </si>
  <si>
    <t>1CL</t>
  </si>
  <si>
    <t>SIMPLEMENTE MADERA MILLWORKS S.A.</t>
  </si>
  <si>
    <t>ALFRESCO CONCEPTS LTD</t>
  </si>
  <si>
    <t>BANCA PARA MESA CURVA</t>
  </si>
  <si>
    <t>AGR/SMM 15050210</t>
  </si>
  <si>
    <t>REGLAS DE BANCA</t>
  </si>
  <si>
    <t>Guapinol</t>
  </si>
  <si>
    <t>Total Guapinol</t>
  </si>
  <si>
    <t>Simplemente Madera MILLWORKS  S.A.</t>
  </si>
  <si>
    <t xml:space="preserve">ORDEN DE TRABAJO (OT) </t>
  </si>
  <si>
    <t>CLIENTE/PROYECTO</t>
  </si>
  <si>
    <t>CANTIDAD</t>
  </si>
  <si>
    <t>LINEA</t>
  </si>
  <si>
    <t>DESCRIPCIÓN PRODUCTO</t>
  </si>
  <si>
    <t xml:space="preserve">  </t>
  </si>
  <si>
    <t>Revisado por:</t>
  </si>
  <si>
    <t>Firma:</t>
  </si>
  <si>
    <t>Total piezas</t>
  </si>
  <si>
    <t>Descripción de Materiales</t>
  </si>
  <si>
    <t>Área</t>
  </si>
  <si>
    <t>C. Macho</t>
  </si>
  <si>
    <t>Almendro</t>
  </si>
  <si>
    <t>Balsa</t>
  </si>
  <si>
    <t>Caoba</t>
  </si>
  <si>
    <t>Carolillo</t>
  </si>
  <si>
    <t>Cedro Real</t>
  </si>
  <si>
    <t>Cedro Viejo</t>
  </si>
  <si>
    <t>Comenegro</t>
  </si>
  <si>
    <t>Cortez</t>
  </si>
  <si>
    <t>Coyote</t>
  </si>
  <si>
    <t>Guanacaste</t>
  </si>
  <si>
    <t>Frijolillo</t>
  </si>
  <si>
    <t>A</t>
  </si>
  <si>
    <t>B</t>
  </si>
  <si>
    <t>C</t>
  </si>
  <si>
    <t>Z</t>
  </si>
  <si>
    <t>Plywood 1/4"</t>
  </si>
  <si>
    <t>Plywood 1/8"</t>
  </si>
  <si>
    <t>Plywood 1/2"</t>
  </si>
  <si>
    <t>Lista de Materiales Requeridos (LMR)</t>
  </si>
  <si>
    <t>U/M</t>
  </si>
  <si>
    <t>COCO</t>
  </si>
  <si>
    <t>CUSTOM</t>
  </si>
  <si>
    <t>TOLA</t>
  </si>
  <si>
    <t>MBACHO</t>
  </si>
  <si>
    <t>M-LINE</t>
  </si>
  <si>
    <t>REPARACION</t>
  </si>
  <si>
    <t>TELICA</t>
  </si>
  <si>
    <t>STO DOMINGO</t>
  </si>
  <si>
    <t>VELERO</t>
  </si>
  <si>
    <t>BASIC</t>
  </si>
  <si>
    <t>PROTOTIPO</t>
  </si>
  <si>
    <t>Genízaro</t>
  </si>
  <si>
    <t>Guácimo</t>
  </si>
  <si>
    <t xml:space="preserve">Fibrán </t>
  </si>
  <si>
    <t>OSB</t>
  </si>
  <si>
    <t>Sólido</t>
  </si>
  <si>
    <t>Sólido/CN</t>
  </si>
  <si>
    <t>Slab</t>
  </si>
  <si>
    <t>Panel Paulownia</t>
  </si>
  <si>
    <t>Lam FJ</t>
  </si>
  <si>
    <t>Lámina eucalipto</t>
  </si>
  <si>
    <t>Laminado</t>
  </si>
  <si>
    <t>CedroReal</t>
  </si>
  <si>
    <t>A-B</t>
  </si>
  <si>
    <t>B-C</t>
  </si>
  <si>
    <t>CN</t>
  </si>
  <si>
    <t>SLAB</t>
  </si>
  <si>
    <t>NOTAS:</t>
  </si>
  <si>
    <t>BGE</t>
  </si>
  <si>
    <t>ELABORADO POR:</t>
  </si>
  <si>
    <t>Fecha:</t>
  </si>
  <si>
    <t>Marjenny Tellez</t>
  </si>
  <si>
    <t>REVISADO POR:</t>
  </si>
  <si>
    <t>Nombre: Metal</t>
  </si>
  <si>
    <t>Nombre: Costura</t>
  </si>
  <si>
    <t>Ana Palacios</t>
  </si>
  <si>
    <t>Enmanuel Gutierrez</t>
  </si>
  <si>
    <t>Wilmer Montes</t>
  </si>
  <si>
    <t>Wesley Lacayo</t>
  </si>
  <si>
    <t>Laurel</t>
  </si>
  <si>
    <t>Teca</t>
  </si>
  <si>
    <t>Cant. Real</t>
  </si>
  <si>
    <t>Código</t>
  </si>
  <si>
    <t>Recibido por:</t>
  </si>
  <si>
    <t>CAMBIOS NECESARIOS</t>
  </si>
  <si>
    <t>Cantidad Estimada</t>
  </si>
  <si>
    <t>Fecha</t>
  </si>
  <si>
    <t>Autoriza</t>
  </si>
  <si>
    <t>Razón del Cambio</t>
  </si>
  <si>
    <t>Elaborado por:</t>
  </si>
  <si>
    <t>Fecha:__________________________</t>
  </si>
  <si>
    <t>Nombre: Compras</t>
  </si>
  <si>
    <t>Observaciones</t>
  </si>
  <si>
    <t>PROFORMA</t>
  </si>
  <si>
    <t>Pochote</t>
  </si>
  <si>
    <t>Quebracho</t>
  </si>
  <si>
    <t>Madera Solida</t>
  </si>
  <si>
    <t>Madera Laminada</t>
  </si>
  <si>
    <t>MADERA</t>
  </si>
  <si>
    <t>Departamento de Ingenieria</t>
  </si>
  <si>
    <t>MUEBLES</t>
  </si>
  <si>
    <t>FECHA DE ELABORACION</t>
  </si>
  <si>
    <t>Piezas unit.</t>
  </si>
  <si>
    <t>Resumen de Maderas</t>
  </si>
  <si>
    <t>MEDIDAS</t>
  </si>
  <si>
    <t>Grosor Bruto plg</t>
  </si>
  <si>
    <t>Largo Bruto Pies</t>
  </si>
  <si>
    <t>Madera Lam. FJ</t>
  </si>
  <si>
    <t>PT Bruto</t>
  </si>
  <si>
    <t>LARGO</t>
  </si>
  <si>
    <t>ANCHO</t>
  </si>
  <si>
    <t>GROSOR</t>
  </si>
  <si>
    <t>Bruto plg</t>
  </si>
  <si>
    <t>Neto cm</t>
  </si>
  <si>
    <t>Bruto Pies</t>
  </si>
  <si>
    <t>Lista de Materia Prima (LMP)</t>
  </si>
  <si>
    <t xml:space="preserve"> PT Bruto</t>
  </si>
  <si>
    <t>DIBUJADO POR</t>
  </si>
  <si>
    <t>DIBUJADO POR:</t>
  </si>
  <si>
    <t>Sebastián Lazo</t>
  </si>
  <si>
    <t>Ana Palacios (SMM)</t>
  </si>
  <si>
    <t>Marjenny Tellez (SMM)</t>
  </si>
  <si>
    <t>Sebastián Lazo (SMM)</t>
  </si>
  <si>
    <t>Wilmer Montes (SMM)</t>
  </si>
  <si>
    <t>Ana Rodriguez (SMC)</t>
  </si>
  <si>
    <t>Jeremy Vasquez (SMC)</t>
  </si>
  <si>
    <t>Nombre: Asesor Técnico</t>
  </si>
  <si>
    <t>Yender Mendez (SMC)</t>
  </si>
  <si>
    <t>Charlie Mejía (SMC)</t>
  </si>
  <si>
    <t>Nombre: Producción</t>
  </si>
  <si>
    <t>F. DE ENTREGA</t>
  </si>
  <si>
    <t>Luis Ayala</t>
  </si>
  <si>
    <t>Enmanuel Gutierrez y Sebastián Lazo</t>
  </si>
  <si>
    <t>RAZON DEL CAMBIO</t>
  </si>
  <si>
    <t>DESCRIPCION DEL PRODUCTO</t>
  </si>
  <si>
    <t>Sebastian Lazo</t>
  </si>
  <si>
    <t>Nombre: Planeación y Seguimiento</t>
  </si>
  <si>
    <t>Nombre: Contabilidad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</si>
</sst>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_([$C$-4C0A]\ * #,##0_);_([$C$-4C0A]\ * \(#,##0\);_([$C$-4C0A]\ * &quot;-&quot;??_);_(@_)"/>
    <numFmt numFmtId="165" formatCode="#\ ?/8"/>
    <numFmt numFmtId="166" formatCode="#\ ?/4"/>
    <numFmt numFmtId="167" formatCode="0.0"/>
    <numFmt numFmtId="168" formatCode="#\ ?/2"/>
  </numFmts>
  <fonts count="3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indexed="8"/>
      <name val="Arial"/>
      <family val="2"/>
    </font>
    <font>
      <b/>
      <sz val="14"/>
      <name val="Bookman Old Style"/>
      <family val="1"/>
    </font>
    <font>
      <b/>
      <sz val="10"/>
      <name val="Bookman Old Style"/>
      <family val="1"/>
    </font>
    <font>
      <b/>
      <sz val="10"/>
      <color indexed="8"/>
      <name val="Arial"/>
      <family val="2"/>
    </font>
    <font>
      <sz val="8"/>
      <color indexed="8"/>
      <name val="Arial"/>
      <family val="2"/>
    </font>
    <font>
      <b/>
      <sz val="10"/>
      <color theme="0"/>
      <name val="Arial"/>
      <family val="2"/>
    </font>
    <font>
      <b/>
      <sz val="12"/>
      <color indexed="8"/>
      <name val="Arial"/>
      <family val="2"/>
    </font>
    <font>
      <b/>
      <sz val="8"/>
      <color indexed="8"/>
      <name val="Arial"/>
      <family val="2"/>
    </font>
    <font>
      <b/>
      <sz val="10"/>
      <color theme="1"/>
      <name val="Arial"/>
      <family val="2"/>
    </font>
    <font>
      <b/>
      <sz val="11"/>
      <color theme="1"/>
      <name val="Calibri"/>
      <family val="2"/>
      <scheme val="minor"/>
    </font>
    <font>
      <b/>
      <sz val="18"/>
      <name val="Dauphin"/>
      <family val="1"/>
    </font>
    <font>
      <b/>
      <sz val="22"/>
      <color theme="1"/>
      <name val="Cambria"/>
      <family val="1"/>
    </font>
    <font>
      <b/>
      <sz val="11"/>
      <color theme="0"/>
      <name val="Arial"/>
      <family val="2"/>
    </font>
    <font>
      <b/>
      <sz val="18"/>
      <color theme="3"/>
      <name val="Dauphin"/>
      <family val="1"/>
    </font>
    <font>
      <b/>
      <sz val="18"/>
      <color theme="1"/>
      <name val="Calibri Light"/>
      <family val="1"/>
      <scheme val="major"/>
    </font>
    <font>
      <b/>
      <sz val="14"/>
      <name val="Dauphin"/>
      <family val="1"/>
    </font>
    <font>
      <b/>
      <sz val="11"/>
      <color rgb="FF000000"/>
      <name val="Calibri"/>
      <family val="2"/>
      <scheme val="minor"/>
    </font>
    <font>
      <sz val="11"/>
      <name val="Century Gothic"/>
      <family val="2"/>
    </font>
    <font>
      <sz val="10"/>
      <name val="Arial"/>
      <family val="2"/>
    </font>
    <font>
      <sz val="12"/>
      <color theme="1"/>
      <name val="Calibri"/>
      <family val="2"/>
      <scheme val="minor"/>
    </font>
    <font>
      <b/>
      <u/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b/>
      <sz val="22"/>
      <name val="Dauphin"/>
      <family val="1"/>
    </font>
    <font>
      <sz val="16"/>
      <color theme="1"/>
      <name val="Arial"/>
      <family val="2"/>
    </font>
    <font>
      <sz val="16"/>
      <color theme="1"/>
      <name val="Calibri"/>
      <family val="2"/>
      <scheme val="minor"/>
    </font>
    <font>
      <b/>
      <sz val="11"/>
      <name val="Arial"/>
      <family val="2"/>
    </font>
    <font>
      <b/>
      <sz val="11"/>
      <color theme="1"/>
      <name val="Century Gothic"/>
      <family val="2"/>
    </font>
    <font>
      <b/>
      <sz val="10"/>
      <name val="Arial"/>
      <family val="2"/>
    </font>
    <font>
      <sz val="14"/>
      <name val="Century Gothic"/>
      <family val="2"/>
    </font>
    <font>
      <b/>
      <sz val="14"/>
      <color indexed="8"/>
      <name val="Arial"/>
      <family val="2"/>
    </font>
    <font>
      <b/>
      <sz val="12"/>
      <color theme="0"/>
      <name val="Arial"/>
      <family val="2"/>
    </font>
    <font>
      <sz val="12"/>
      <color indexed="8"/>
      <name val="Arial"/>
      <family val="2"/>
    </font>
    <font>
      <sz val="12"/>
      <name val="Arial"/>
      <family val="2"/>
    </font>
    <font>
      <b/>
      <sz val="14"/>
      <color theme="1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0.249977111117893"/>
        <bgColor indexed="64"/>
      </patternFill>
    </fill>
  </fills>
  <borders count="5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164" fontId="2" fillId="0" borderId="0"/>
    <xf numFmtId="9" fontId="1" fillId="0" borderId="0" applyFont="0" applyFill="0" applyBorder="0" applyAlignment="0" applyProtection="0"/>
    <xf numFmtId="164" fontId="1" fillId="0" borderId="0"/>
  </cellStyleXfs>
  <cellXfs count="262">
    <xf numFmtId="0" fontId="0" fillId="0" borderId="0" xfId="0"/>
    <xf numFmtId="0" fontId="3" fillId="0" borderId="0" xfId="1" applyNumberFormat="1" applyFont="1"/>
    <xf numFmtId="164" fontId="2" fillId="0" borderId="0" xfId="1"/>
    <xf numFmtId="0" fontId="4" fillId="0" borderId="0" xfId="1" applyNumberFormat="1" applyFont="1"/>
    <xf numFmtId="0" fontId="2" fillId="0" borderId="0" xfId="1" applyNumberFormat="1"/>
    <xf numFmtId="0" fontId="6" fillId="0" borderId="0" xfId="1" applyNumberFormat="1" applyFont="1"/>
    <xf numFmtId="0" fontId="2" fillId="0" borderId="0" xfId="1" applyNumberFormat="1" applyAlignment="1">
      <alignment horizontal="center"/>
    </xf>
    <xf numFmtId="0" fontId="5" fillId="0" borderId="0" xfId="1" applyNumberFormat="1" applyFont="1" applyAlignment="1">
      <alignment horizontal="center"/>
    </xf>
    <xf numFmtId="0" fontId="5" fillId="0" borderId="19" xfId="1" applyNumberFormat="1" applyFont="1" applyBorder="1" applyAlignment="1">
      <alignment horizontal="center"/>
    </xf>
    <xf numFmtId="14" fontId="5" fillId="0" borderId="19" xfId="1" applyNumberFormat="1" applyFont="1" applyBorder="1" applyAlignment="1">
      <alignment horizontal="center"/>
    </xf>
    <xf numFmtId="0" fontId="2" fillId="0" borderId="21" xfId="1" applyNumberFormat="1" applyBorder="1" applyAlignment="1">
      <alignment horizontal="center"/>
    </xf>
    <xf numFmtId="9" fontId="6" fillId="0" borderId="0" xfId="1" applyNumberFormat="1" applyFont="1" applyAlignment="1">
      <alignment horizontal="center"/>
    </xf>
    <xf numFmtId="9" fontId="8" fillId="0" borderId="0" xfId="1" applyNumberFormat="1" applyFont="1" applyAlignment="1">
      <alignment horizontal="center"/>
    </xf>
    <xf numFmtId="0" fontId="9" fillId="0" borderId="0" xfId="1" applyNumberFormat="1" applyFont="1"/>
    <xf numFmtId="0" fontId="9" fillId="0" borderId="0" xfId="1" applyNumberFormat="1" applyFont="1" applyAlignment="1">
      <alignment horizontal="center"/>
    </xf>
    <xf numFmtId="164" fontId="7" fillId="2" borderId="11" xfId="1" applyFont="1" applyFill="1" applyBorder="1" applyAlignment="1">
      <alignment horizontal="center"/>
    </xf>
    <xf numFmtId="164" fontId="7" fillId="2" borderId="9" xfId="1" applyFont="1" applyFill="1" applyBorder="1" applyAlignment="1">
      <alignment horizontal="center"/>
    </xf>
    <xf numFmtId="164" fontId="7" fillId="2" borderId="12" xfId="1" applyFont="1" applyFill="1" applyBorder="1" applyAlignment="1">
      <alignment horizontal="center"/>
    </xf>
    <xf numFmtId="164" fontId="10" fillId="0" borderId="11" xfId="1" applyFont="1" applyBorder="1" applyAlignment="1">
      <alignment horizontal="center"/>
    </xf>
    <xf numFmtId="164" fontId="10" fillId="0" borderId="9" xfId="1" applyFont="1" applyBorder="1" applyAlignment="1">
      <alignment horizontal="center"/>
    </xf>
    <xf numFmtId="164" fontId="10" fillId="0" borderId="12" xfId="1" applyFont="1" applyBorder="1" applyAlignment="1">
      <alignment horizontal="center"/>
    </xf>
    <xf numFmtId="164" fontId="2" fillId="0" borderId="0" xfId="1" applyAlignment="1">
      <alignment horizontal="left"/>
    </xf>
    <xf numFmtId="0" fontId="0" fillId="0" borderId="0" xfId="0" applyAlignment="1">
      <alignment horizontal="left"/>
    </xf>
    <xf numFmtId="0" fontId="6" fillId="0" borderId="0" xfId="1" applyNumberFormat="1" applyFont="1" applyAlignment="1">
      <alignment horizontal="left"/>
    </xf>
    <xf numFmtId="12" fontId="0" fillId="0" borderId="0" xfId="0" applyNumberFormat="1"/>
    <xf numFmtId="0" fontId="0" fillId="0" borderId="0" xfId="0" pivotButton="1"/>
    <xf numFmtId="166" fontId="0" fillId="0" borderId="0" xfId="0" applyNumberFormat="1"/>
    <xf numFmtId="2" fontId="0" fillId="0" borderId="0" xfId="0" applyNumberFormat="1"/>
    <xf numFmtId="1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0" fontId="2" fillId="0" borderId="20" xfId="1" applyNumberFormat="1" applyBorder="1" applyAlignment="1">
      <alignment horizontal="center"/>
    </xf>
    <xf numFmtId="167" fontId="5" fillId="0" borderId="20" xfId="1" applyNumberFormat="1" applyFont="1" applyBorder="1" applyAlignment="1">
      <alignment horizontal="center"/>
    </xf>
    <xf numFmtId="1" fontId="0" fillId="0" borderId="0" xfId="0" applyNumberFormat="1"/>
    <xf numFmtId="0" fontId="12" fillId="0" borderId="0" xfId="3" applyNumberFormat="1" applyFont="1"/>
    <xf numFmtId="0" fontId="14" fillId="2" borderId="21" xfId="1" applyNumberFormat="1" applyFont="1" applyFill="1" applyBorder="1" applyAlignment="1">
      <alignment horizontal="center"/>
    </xf>
    <xf numFmtId="164" fontId="14" fillId="2" borderId="22" xfId="1" applyFont="1" applyFill="1" applyBorder="1" applyAlignment="1">
      <alignment horizontal="center"/>
    </xf>
    <xf numFmtId="0" fontId="15" fillId="0" borderId="0" xfId="3" applyNumberFormat="1" applyFont="1"/>
    <xf numFmtId="0" fontId="16" fillId="0" borderId="0" xfId="0" applyFont="1" applyAlignment="1">
      <alignment horizontal="center" vertical="center"/>
    </xf>
    <xf numFmtId="14" fontId="5" fillId="0" borderId="21" xfId="1" applyNumberFormat="1" applyFont="1" applyBorder="1" applyAlignment="1">
      <alignment horizontal="center"/>
    </xf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0" borderId="34" xfId="0" applyBorder="1"/>
    <xf numFmtId="0" fontId="0" fillId="0" borderId="35" xfId="0" applyBorder="1"/>
    <xf numFmtId="0" fontId="0" fillId="0" borderId="36" xfId="0" applyBorder="1"/>
    <xf numFmtId="0" fontId="17" fillId="0" borderId="0" xfId="3" applyNumberFormat="1" applyFont="1"/>
    <xf numFmtId="0" fontId="5" fillId="0" borderId="19" xfId="1" applyNumberFormat="1" applyFont="1" applyBorder="1" applyAlignment="1">
      <alignment horizontal="center" vertical="center"/>
    </xf>
    <xf numFmtId="0" fontId="14" fillId="2" borderId="21" xfId="1" applyNumberFormat="1" applyFont="1" applyFill="1" applyBorder="1" applyAlignment="1">
      <alignment horizontal="center" vertical="center"/>
    </xf>
    <xf numFmtId="0" fontId="5" fillId="0" borderId="21" xfId="1" applyNumberFormat="1" applyFont="1" applyBorder="1" applyAlignment="1">
      <alignment horizontal="center" vertical="center"/>
    </xf>
    <xf numFmtId="0" fontId="18" fillId="0" borderId="30" xfId="0" applyFont="1" applyBorder="1" applyAlignment="1">
      <alignment vertical="top"/>
    </xf>
    <xf numFmtId="0" fontId="18" fillId="0" borderId="0" xfId="0" applyFont="1" applyAlignment="1">
      <alignment vertical="top"/>
    </xf>
    <xf numFmtId="0" fontId="0" fillId="3" borderId="0" xfId="0" applyFill="1"/>
    <xf numFmtId="0" fontId="20" fillId="0" borderId="1" xfId="0" applyFont="1" applyBorder="1"/>
    <xf numFmtId="0" fontId="19" fillId="0" borderId="1" xfId="0" applyFont="1" applyBorder="1" applyAlignment="1">
      <alignment horizontal="left"/>
    </xf>
    <xf numFmtId="0" fontId="19" fillId="0" borderId="1" xfId="0" applyFont="1" applyBorder="1" applyAlignment="1">
      <alignment horizontal="center"/>
    </xf>
    <xf numFmtId="2" fontId="19" fillId="0" borderId="1" xfId="0" applyNumberFormat="1" applyFont="1" applyBorder="1" applyAlignment="1">
      <alignment horizontal="center"/>
    </xf>
    <xf numFmtId="0" fontId="19" fillId="0" borderId="1" xfId="0" applyFont="1" applyBorder="1" applyAlignment="1">
      <alignment horizontal="center" vertical="center"/>
    </xf>
    <xf numFmtId="164" fontId="7" fillId="2" borderId="11" xfId="1" applyFont="1" applyFill="1" applyBorder="1" applyAlignment="1">
      <alignment horizontal="center" vertical="center"/>
    </xf>
    <xf numFmtId="0" fontId="20" fillId="0" borderId="0" xfId="0" applyFont="1"/>
    <xf numFmtId="0" fontId="22" fillId="0" borderId="25" xfId="0" applyFont="1" applyBorder="1" applyAlignment="1">
      <alignment vertical="top" wrapText="1"/>
    </xf>
    <xf numFmtId="0" fontId="21" fillId="0" borderId="32" xfId="0" applyFont="1" applyBorder="1"/>
    <xf numFmtId="0" fontId="23" fillId="0" borderId="32" xfId="0" applyFont="1" applyBorder="1" applyAlignment="1">
      <alignment vertical="top"/>
    </xf>
    <xf numFmtId="0" fontId="19" fillId="0" borderId="17" xfId="0" applyFont="1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1" fillId="0" borderId="0" xfId="0" applyFont="1"/>
    <xf numFmtId="164" fontId="7" fillId="2" borderId="8" xfId="1" applyFont="1" applyFill="1" applyBorder="1" applyAlignment="1">
      <alignment horizontal="center"/>
    </xf>
    <xf numFmtId="14" fontId="5" fillId="0" borderId="0" xfId="1" applyNumberFormat="1" applyFont="1" applyAlignment="1">
      <alignment horizontal="center"/>
    </xf>
    <xf numFmtId="164" fontId="7" fillId="2" borderId="26" xfId="1" applyFont="1" applyFill="1" applyBorder="1" applyAlignment="1">
      <alignment horizontal="center"/>
    </xf>
    <xf numFmtId="14" fontId="5" fillId="0" borderId="24" xfId="1" applyNumberFormat="1" applyFont="1" applyBorder="1" applyAlignment="1">
      <alignment horizontal="center"/>
    </xf>
    <xf numFmtId="0" fontId="5" fillId="0" borderId="21" xfId="1" applyNumberFormat="1" applyFont="1" applyBorder="1" applyAlignment="1">
      <alignment horizontal="center"/>
    </xf>
    <xf numFmtId="0" fontId="26" fillId="0" borderId="0" xfId="0" applyFont="1"/>
    <xf numFmtId="164" fontId="7" fillId="2" borderId="7" xfId="1" applyFont="1" applyFill="1" applyBorder="1" applyAlignment="1">
      <alignment horizontal="center"/>
    </xf>
    <xf numFmtId="164" fontId="7" fillId="2" borderId="6" xfId="1" applyFont="1" applyFill="1" applyBorder="1" applyAlignment="1">
      <alignment horizontal="center"/>
    </xf>
    <xf numFmtId="0" fontId="2" fillId="0" borderId="23" xfId="1" applyNumberFormat="1" applyBorder="1" applyAlignment="1">
      <alignment horizontal="center"/>
    </xf>
    <xf numFmtId="0" fontId="5" fillId="0" borderId="27" xfId="1" applyNumberFormat="1" applyFont="1" applyBorder="1" applyAlignment="1">
      <alignment horizontal="center"/>
    </xf>
    <xf numFmtId="0" fontId="27" fillId="0" borderId="0" xfId="0" applyFont="1"/>
    <xf numFmtId="164" fontId="7" fillId="2" borderId="5" xfId="1" applyFont="1" applyFill="1" applyBorder="1" applyAlignment="1">
      <alignment horizontal="center" vertical="center"/>
    </xf>
    <xf numFmtId="164" fontId="7" fillId="2" borderId="5" xfId="1" applyFont="1" applyFill="1" applyBorder="1" applyAlignment="1">
      <alignment horizontal="center" vertical="center" wrapText="1"/>
    </xf>
    <xf numFmtId="164" fontId="7" fillId="2" borderId="26" xfId="1" applyFont="1" applyFill="1" applyBorder="1" applyAlignment="1">
      <alignment horizontal="center" vertical="center"/>
    </xf>
    <xf numFmtId="0" fontId="28" fillId="0" borderId="22" xfId="0" applyFont="1" applyBorder="1"/>
    <xf numFmtId="0" fontId="28" fillId="0" borderId="0" xfId="0" applyFont="1"/>
    <xf numFmtId="16" fontId="28" fillId="0" borderId="0" xfId="0" applyNumberFormat="1" applyFont="1"/>
    <xf numFmtId="0" fontId="19" fillId="0" borderId="0" xfId="0" applyFont="1" applyAlignment="1">
      <alignment horizontal="left"/>
    </xf>
    <xf numFmtId="0" fontId="19" fillId="0" borderId="0" xfId="0" applyFont="1" applyAlignment="1">
      <alignment horizontal="center" vertical="center"/>
    </xf>
    <xf numFmtId="2" fontId="19" fillId="0" borderId="0" xfId="0" applyNumberFormat="1" applyFont="1" applyAlignment="1">
      <alignment horizontal="center"/>
    </xf>
    <xf numFmtId="164" fontId="5" fillId="0" borderId="0" xfId="1" applyFont="1" applyAlignment="1">
      <alignment horizontal="center"/>
    </xf>
    <xf numFmtId="14" fontId="29" fillId="0" borderId="21" xfId="1" applyNumberFormat="1" applyFont="1" applyBorder="1" applyAlignment="1">
      <alignment horizontal="center" vertical="center"/>
    </xf>
    <xf numFmtId="0" fontId="0" fillId="0" borderId="0" xfId="0" applyFill="1"/>
    <xf numFmtId="0" fontId="2" fillId="0" borderId="0" xfId="1" applyNumberFormat="1" applyFill="1" applyBorder="1" applyAlignment="1">
      <alignment horizontal="center"/>
    </xf>
    <xf numFmtId="0" fontId="0" fillId="0" borderId="0" xfId="0" applyBorder="1"/>
    <xf numFmtId="0" fontId="2" fillId="0" borderId="0" xfId="1" applyNumberFormat="1" applyBorder="1"/>
    <xf numFmtId="0" fontId="5" fillId="0" borderId="0" xfId="1" applyNumberFormat="1" applyFont="1" applyFill="1" applyBorder="1" applyAlignment="1">
      <alignment horizontal="center"/>
    </xf>
    <xf numFmtId="0" fontId="0" fillId="0" borderId="0" xfId="0" applyBorder="1" applyAlignment="1">
      <alignment horizontal="left"/>
    </xf>
    <xf numFmtId="164" fontId="2" fillId="0" borderId="0" xfId="1" applyBorder="1"/>
    <xf numFmtId="0" fontId="0" fillId="0" borderId="22" xfId="0" applyBorder="1" applyAlignment="1">
      <alignment horizontal="left"/>
    </xf>
    <xf numFmtId="0" fontId="0" fillId="0" borderId="5" xfId="0" applyBorder="1" applyAlignment="1">
      <alignment horizontal="center"/>
    </xf>
    <xf numFmtId="0" fontId="30" fillId="0" borderId="1" xfId="0" applyFont="1" applyBorder="1" applyAlignment="1">
      <alignment horizontal="center"/>
    </xf>
    <xf numFmtId="0" fontId="30" fillId="0" borderId="1" xfId="0" applyFont="1" applyBorder="1" applyAlignment="1">
      <alignment horizontal="left"/>
    </xf>
    <xf numFmtId="166" fontId="30" fillId="0" borderId="1" xfId="0" applyNumberFormat="1" applyFont="1" applyBorder="1" applyAlignment="1">
      <alignment horizontal="center"/>
    </xf>
    <xf numFmtId="12" fontId="30" fillId="0" borderId="1" xfId="0" applyNumberFormat="1" applyFont="1" applyBorder="1" applyAlignment="1">
      <alignment horizontal="center"/>
    </xf>
    <xf numFmtId="14" fontId="5" fillId="0" borderId="0" xfId="1" applyNumberFormat="1" applyFont="1" applyBorder="1" applyAlignment="1">
      <alignment horizontal="center"/>
    </xf>
    <xf numFmtId="167" fontId="5" fillId="0" borderId="0" xfId="1" applyNumberFormat="1" applyFont="1" applyBorder="1" applyAlignment="1">
      <alignment horizontal="center"/>
    </xf>
    <xf numFmtId="0" fontId="2" fillId="0" borderId="0" xfId="1" applyNumberFormat="1" applyBorder="1" applyAlignment="1">
      <alignment horizontal="center"/>
    </xf>
    <xf numFmtId="0" fontId="8" fillId="0" borderId="2" xfId="1" applyNumberFormat="1" applyFont="1" applyBorder="1" applyAlignment="1">
      <alignment horizontal="center" vertical="center" wrapText="1"/>
    </xf>
    <xf numFmtId="0" fontId="8" fillId="0" borderId="5" xfId="1" applyNumberFormat="1" applyFont="1" applyBorder="1" applyAlignment="1">
      <alignment horizontal="center" vertical="center" wrapText="1"/>
    </xf>
    <xf numFmtId="0" fontId="6" fillId="0" borderId="0" xfId="1" applyNumberFormat="1" applyFont="1" applyBorder="1"/>
    <xf numFmtId="0" fontId="6" fillId="0" borderId="0" xfId="1" applyNumberFormat="1" applyFont="1" applyBorder="1" applyAlignment="1">
      <alignment horizontal="left"/>
    </xf>
    <xf numFmtId="2" fontId="7" fillId="2" borderId="5" xfId="1" applyNumberFormat="1" applyFont="1" applyFill="1" applyBorder="1" applyAlignment="1">
      <alignment horizontal="center"/>
    </xf>
    <xf numFmtId="0" fontId="8" fillId="0" borderId="0" xfId="1" applyNumberFormat="1" applyFont="1" applyBorder="1" applyAlignment="1">
      <alignment horizontal="center" vertical="center" wrapText="1"/>
    </xf>
    <xf numFmtId="0" fontId="5" fillId="0" borderId="0" xfId="1" applyNumberFormat="1" applyFont="1" applyBorder="1" applyAlignment="1">
      <alignment vertical="center"/>
    </xf>
    <xf numFmtId="14" fontId="31" fillId="0" borderId="0" xfId="1" applyNumberFormat="1" applyFont="1" applyFill="1" applyBorder="1" applyAlignment="1"/>
    <xf numFmtId="0" fontId="12" fillId="0" borderId="0" xfId="3" applyNumberFormat="1" applyFont="1" applyAlignment="1"/>
    <xf numFmtId="0" fontId="8" fillId="5" borderId="1" xfId="1" applyNumberFormat="1" applyFont="1" applyFill="1" applyBorder="1" applyAlignment="1">
      <alignment horizontal="center"/>
    </xf>
    <xf numFmtId="0" fontId="8" fillId="5" borderId="37" xfId="1" applyNumberFormat="1" applyFont="1" applyFill="1" applyBorder="1" applyAlignment="1">
      <alignment horizontal="center"/>
    </xf>
    <xf numFmtId="49" fontId="33" fillId="5" borderId="14" xfId="1" applyNumberFormat="1" applyFont="1" applyFill="1" applyBorder="1" applyAlignment="1">
      <alignment horizontal="center"/>
    </xf>
    <xf numFmtId="0" fontId="8" fillId="5" borderId="16" xfId="1" applyNumberFormat="1" applyFont="1" applyFill="1" applyBorder="1" applyAlignment="1">
      <alignment horizontal="center"/>
    </xf>
    <xf numFmtId="0" fontId="8" fillId="5" borderId="34" xfId="1" applyNumberFormat="1" applyFont="1" applyFill="1" applyBorder="1" applyAlignment="1">
      <alignment horizontal="center"/>
    </xf>
    <xf numFmtId="49" fontId="33" fillId="5" borderId="38" xfId="1" applyNumberFormat="1" applyFont="1" applyFill="1" applyBorder="1" applyAlignment="1">
      <alignment horizontal="center"/>
    </xf>
    <xf numFmtId="0" fontId="8" fillId="5" borderId="39" xfId="1" applyNumberFormat="1" applyFont="1" applyFill="1" applyBorder="1" applyAlignment="1">
      <alignment horizontal="center"/>
    </xf>
    <xf numFmtId="0" fontId="8" fillId="5" borderId="9" xfId="1" applyNumberFormat="1" applyFont="1" applyFill="1" applyBorder="1" applyAlignment="1">
      <alignment horizontal="center"/>
    </xf>
    <xf numFmtId="0" fontId="8" fillId="5" borderId="20" xfId="1" applyNumberFormat="1" applyFont="1" applyFill="1" applyBorder="1" applyAlignment="1">
      <alignment horizontal="center"/>
    </xf>
    <xf numFmtId="49" fontId="33" fillId="5" borderId="10" xfId="1" applyNumberFormat="1" applyFont="1" applyFill="1" applyBorder="1" applyAlignment="1">
      <alignment horizontal="center"/>
    </xf>
    <xf numFmtId="0" fontId="8" fillId="5" borderId="12" xfId="1" applyNumberFormat="1" applyFont="1" applyFill="1" applyBorder="1" applyAlignment="1">
      <alignment horizontal="center"/>
    </xf>
    <xf numFmtId="0" fontId="8" fillId="5" borderId="17" xfId="1" applyNumberFormat="1" applyFont="1" applyFill="1" applyBorder="1" applyAlignment="1">
      <alignment horizontal="left"/>
    </xf>
    <xf numFmtId="0" fontId="8" fillId="5" borderId="19" xfId="1" applyNumberFormat="1" applyFont="1" applyFill="1" applyBorder="1" applyAlignment="1">
      <alignment horizontal="left"/>
    </xf>
    <xf numFmtId="0" fontId="8" fillId="5" borderId="0" xfId="1" applyNumberFormat="1" applyFont="1" applyFill="1" applyBorder="1" applyAlignment="1">
      <alignment horizontal="left"/>
    </xf>
    <xf numFmtId="0" fontId="8" fillId="5" borderId="0" xfId="1" applyNumberFormat="1" applyFont="1" applyFill="1" applyBorder="1" applyAlignment="1">
      <alignment horizontal="center"/>
    </xf>
    <xf numFmtId="49" fontId="33" fillId="5" borderId="0" xfId="1" applyNumberFormat="1" applyFont="1" applyFill="1" applyBorder="1" applyAlignment="1">
      <alignment horizontal="center"/>
    </xf>
    <xf numFmtId="0" fontId="33" fillId="0" borderId="0" xfId="1" applyNumberFormat="1" applyFont="1" applyFill="1" applyBorder="1" applyAlignment="1">
      <alignment horizontal="center"/>
    </xf>
    <xf numFmtId="168" fontId="33" fillId="0" borderId="0" xfId="1" applyNumberFormat="1" applyFont="1" applyFill="1" applyBorder="1" applyAlignment="1">
      <alignment horizontal="center"/>
    </xf>
    <xf numFmtId="166" fontId="33" fillId="0" borderId="0" xfId="1" applyNumberFormat="1" applyFont="1" applyFill="1" applyBorder="1" applyAlignment="1">
      <alignment horizontal="center"/>
    </xf>
    <xf numFmtId="1" fontId="33" fillId="0" borderId="0" xfId="1" applyNumberFormat="1" applyFont="1" applyFill="1" applyBorder="1" applyAlignment="1">
      <alignment horizontal="center"/>
    </xf>
    <xf numFmtId="0" fontId="33" fillId="5" borderId="18" xfId="1" applyNumberFormat="1" applyFont="1" applyFill="1" applyBorder="1" applyAlignment="1">
      <alignment horizontal="center"/>
    </xf>
    <xf numFmtId="0" fontId="33" fillId="5" borderId="21" xfId="1" applyNumberFormat="1" applyFont="1" applyFill="1" applyBorder="1" applyAlignment="1">
      <alignment horizontal="center"/>
    </xf>
    <xf numFmtId="0" fontId="8" fillId="5" borderId="22" xfId="1" applyNumberFormat="1" applyFont="1" applyFill="1" applyBorder="1" applyAlignment="1">
      <alignment horizontal="center"/>
    </xf>
    <xf numFmtId="0" fontId="8" fillId="5" borderId="35" xfId="1" applyNumberFormat="1" applyFont="1" applyFill="1" applyBorder="1" applyAlignment="1">
      <alignment horizontal="center"/>
    </xf>
    <xf numFmtId="164" fontId="32" fillId="2" borderId="28" xfId="1" applyFont="1" applyFill="1" applyBorder="1" applyAlignment="1">
      <alignment horizontal="center"/>
    </xf>
    <xf numFmtId="0" fontId="33" fillId="0" borderId="29" xfId="1" applyNumberFormat="1" applyFont="1" applyBorder="1" applyAlignment="1">
      <alignment horizontal="center"/>
    </xf>
    <xf numFmtId="0" fontId="34" fillId="0" borderId="0" xfId="0" applyFont="1"/>
    <xf numFmtId="0" fontId="8" fillId="5" borderId="26" xfId="1" applyNumberFormat="1" applyFont="1" applyFill="1" applyBorder="1" applyAlignment="1">
      <alignment horizontal="center"/>
    </xf>
    <xf numFmtId="0" fontId="0" fillId="0" borderId="0" xfId="0" pivotButton="1" applyAlignment="1">
      <alignment wrapText="1"/>
    </xf>
    <xf numFmtId="0" fontId="26" fillId="0" borderId="0" xfId="0" applyFont="1" applyBorder="1"/>
    <xf numFmtId="168" fontId="33" fillId="6" borderId="11" xfId="1" applyNumberFormat="1" applyFont="1" applyFill="1" applyBorder="1" applyAlignment="1">
      <alignment horizontal="center"/>
    </xf>
    <xf numFmtId="0" fontId="33" fillId="6" borderId="28" xfId="1" applyNumberFormat="1" applyFont="1" applyFill="1" applyBorder="1" applyAlignment="1">
      <alignment horizontal="center"/>
    </xf>
    <xf numFmtId="0" fontId="33" fillId="6" borderId="40" xfId="1" applyNumberFormat="1" applyFont="1" applyFill="1" applyBorder="1" applyAlignment="1">
      <alignment horizontal="center"/>
    </xf>
    <xf numFmtId="0" fontId="33" fillId="6" borderId="36" xfId="1" applyNumberFormat="1" applyFont="1" applyFill="1" applyBorder="1" applyAlignment="1">
      <alignment horizontal="center"/>
    </xf>
    <xf numFmtId="0" fontId="8" fillId="0" borderId="30" xfId="1" applyNumberFormat="1" applyFont="1" applyBorder="1" applyAlignment="1">
      <alignment horizontal="center" vertical="center" wrapText="1"/>
    </xf>
    <xf numFmtId="0" fontId="8" fillId="0" borderId="25" xfId="1" applyNumberFormat="1" applyFont="1" applyBorder="1" applyAlignment="1">
      <alignment horizontal="center" vertical="center" wrapText="1"/>
    </xf>
    <xf numFmtId="0" fontId="8" fillId="0" borderId="42" xfId="1" applyNumberFormat="1" applyFont="1" applyBorder="1" applyAlignment="1">
      <alignment horizontal="center" vertical="center" wrapText="1"/>
    </xf>
    <xf numFmtId="168" fontId="33" fillId="6" borderId="17" xfId="1" applyNumberFormat="1" applyFont="1" applyFill="1" applyBorder="1" applyAlignment="1">
      <alignment horizontal="center"/>
    </xf>
    <xf numFmtId="168" fontId="33" fillId="6" borderId="19" xfId="1" applyNumberFormat="1" applyFont="1" applyFill="1" applyBorder="1" applyAlignment="1">
      <alignment horizontal="center"/>
    </xf>
    <xf numFmtId="0" fontId="5" fillId="0" borderId="1" xfId="1" applyNumberFormat="1" applyFont="1" applyFill="1" applyBorder="1" applyAlignment="1">
      <alignment horizontal="center"/>
    </xf>
    <xf numFmtId="0" fontId="8" fillId="0" borderId="0" xfId="1" applyNumberFormat="1" applyFont="1" applyBorder="1" applyAlignment="1">
      <alignment vertical="center" wrapText="1"/>
    </xf>
    <xf numFmtId="0" fontId="8" fillId="0" borderId="0" xfId="1" applyNumberFormat="1" applyFont="1" applyFill="1" applyBorder="1" applyAlignment="1">
      <alignment horizontal="center" vertical="center" wrapText="1"/>
    </xf>
    <xf numFmtId="0" fontId="8" fillId="0" borderId="0" xfId="1" applyNumberFormat="1" applyFont="1" applyFill="1" applyBorder="1" applyAlignment="1">
      <alignment horizontal="left"/>
    </xf>
    <xf numFmtId="0" fontId="8" fillId="0" borderId="0" xfId="1" applyNumberFormat="1" applyFont="1" applyFill="1" applyBorder="1" applyAlignment="1">
      <alignment horizontal="center"/>
    </xf>
    <xf numFmtId="0" fontId="31" fillId="0" borderId="0" xfId="1" applyNumberFormat="1" applyFont="1" applyFill="1" applyBorder="1" applyAlignment="1">
      <alignment vertical="center"/>
    </xf>
    <xf numFmtId="0" fontId="0" fillId="0" borderId="0" xfId="0" applyFill="1" applyBorder="1" applyAlignment="1">
      <alignment horizontal="left"/>
    </xf>
    <xf numFmtId="0" fontId="0" fillId="0" borderId="0" xfId="0" applyFill="1" applyBorder="1"/>
    <xf numFmtId="164" fontId="2" fillId="0" borderId="0" xfId="1" applyFill="1" applyBorder="1"/>
    <xf numFmtId="0" fontId="5" fillId="0" borderId="9" xfId="1" applyNumberFormat="1" applyFont="1" applyFill="1" applyBorder="1" applyAlignment="1">
      <alignment horizontal="center"/>
    </xf>
    <xf numFmtId="0" fontId="8" fillId="5" borderId="41" xfId="1" applyNumberFormat="1" applyFont="1" applyFill="1" applyBorder="1" applyAlignment="1">
      <alignment horizontal="center"/>
    </xf>
    <xf numFmtId="167" fontId="33" fillId="0" borderId="0" xfId="1" applyNumberFormat="1" applyFont="1" applyFill="1" applyBorder="1" applyAlignment="1">
      <alignment horizontal="center"/>
    </xf>
    <xf numFmtId="164" fontId="2" fillId="0" borderId="22" xfId="1" applyFill="1" applyBorder="1"/>
    <xf numFmtId="164" fontId="7" fillId="2" borderId="2" xfId="1" applyFont="1" applyFill="1" applyBorder="1" applyAlignment="1">
      <alignment horizontal="center"/>
    </xf>
    <xf numFmtId="14" fontId="5" fillId="0" borderId="2" xfId="1" applyNumberFormat="1" applyFont="1" applyBorder="1" applyAlignment="1">
      <alignment horizontal="center" vertical="center"/>
    </xf>
    <xf numFmtId="0" fontId="0" fillId="0" borderId="0" xfId="0" applyAlignment="1">
      <alignment vertical="top"/>
    </xf>
    <xf numFmtId="164" fontId="7" fillId="2" borderId="42" xfId="1" applyFont="1" applyFill="1" applyBorder="1" applyAlignment="1">
      <alignment horizontal="center"/>
    </xf>
    <xf numFmtId="14" fontId="29" fillId="0" borderId="5" xfId="1" applyNumberFormat="1" applyFont="1" applyBorder="1" applyAlignment="1">
      <alignment horizontal="center" vertical="center"/>
    </xf>
    <xf numFmtId="2" fontId="7" fillId="2" borderId="2" xfId="1" applyNumberFormat="1" applyFont="1" applyFill="1" applyBorder="1" applyAlignment="1">
      <alignment horizontal="center"/>
    </xf>
    <xf numFmtId="0" fontId="8" fillId="5" borderId="43" xfId="1" applyNumberFormat="1" applyFont="1" applyFill="1" applyBorder="1" applyAlignment="1">
      <alignment horizontal="left"/>
    </xf>
    <xf numFmtId="0" fontId="8" fillId="5" borderId="45" xfId="1" applyNumberFormat="1" applyFont="1" applyFill="1" applyBorder="1" applyAlignment="1">
      <alignment horizontal="left"/>
    </xf>
    <xf numFmtId="0" fontId="8" fillId="5" borderId="11" xfId="1" applyNumberFormat="1" applyFont="1" applyFill="1" applyBorder="1" applyAlignment="1">
      <alignment horizontal="center" vertical="center"/>
    </xf>
    <xf numFmtId="0" fontId="8" fillId="5" borderId="44" xfId="1" applyNumberFormat="1" applyFont="1" applyFill="1" applyBorder="1" applyAlignment="1">
      <alignment horizontal="center"/>
    </xf>
    <xf numFmtId="0" fontId="8" fillId="5" borderId="18" xfId="1" applyNumberFormat="1" applyFont="1" applyFill="1" applyBorder="1" applyAlignment="1">
      <alignment horizontal="center"/>
    </xf>
    <xf numFmtId="0" fontId="8" fillId="5" borderId="15" xfId="1" applyNumberFormat="1" applyFont="1" applyFill="1" applyBorder="1" applyAlignment="1">
      <alignment horizontal="center" vertical="center"/>
    </xf>
    <xf numFmtId="0" fontId="8" fillId="5" borderId="46" xfId="1" applyNumberFormat="1" applyFont="1" applyFill="1" applyBorder="1" applyAlignment="1">
      <alignment horizontal="center"/>
    </xf>
    <xf numFmtId="0" fontId="8" fillId="5" borderId="13" xfId="1" applyNumberFormat="1" applyFont="1" applyFill="1" applyBorder="1" applyAlignment="1">
      <alignment horizontal="center"/>
    </xf>
    <xf numFmtId="0" fontId="8" fillId="5" borderId="44" xfId="1" applyNumberFormat="1" applyFont="1" applyFill="1" applyBorder="1" applyAlignment="1">
      <alignment horizontal="center" vertical="center"/>
    </xf>
    <xf numFmtId="0" fontId="8" fillId="5" borderId="46" xfId="1" applyNumberFormat="1" applyFont="1" applyFill="1" applyBorder="1" applyAlignment="1">
      <alignment horizontal="center" vertical="center"/>
    </xf>
    <xf numFmtId="14" fontId="8" fillId="0" borderId="5" xfId="1" applyNumberFormat="1" applyFont="1" applyBorder="1" applyAlignment="1">
      <alignment horizontal="center" vertical="center"/>
    </xf>
    <xf numFmtId="0" fontId="5" fillId="0" borderId="11" xfId="1" applyNumberFormat="1" applyFont="1" applyFill="1" applyBorder="1" applyAlignment="1"/>
    <xf numFmtId="0" fontId="5" fillId="0" borderId="17" xfId="1" applyNumberFormat="1" applyFont="1" applyFill="1" applyBorder="1" applyAlignment="1"/>
    <xf numFmtId="0" fontId="0" fillId="0" borderId="17" xfId="0" applyBorder="1" applyAlignment="1"/>
    <xf numFmtId="0" fontId="5" fillId="0" borderId="19" xfId="1" applyNumberFormat="1" applyFont="1" applyFill="1" applyBorder="1" applyAlignment="1"/>
    <xf numFmtId="167" fontId="33" fillId="6" borderId="47" xfId="1" applyNumberFormat="1" applyFont="1" applyFill="1" applyBorder="1" applyAlignment="1">
      <alignment horizontal="center"/>
    </xf>
    <xf numFmtId="167" fontId="33" fillId="6" borderId="48" xfId="1" applyNumberFormat="1" applyFont="1" applyFill="1" applyBorder="1" applyAlignment="1">
      <alignment horizontal="center"/>
    </xf>
    <xf numFmtId="167" fontId="33" fillId="6" borderId="49" xfId="1" applyNumberFormat="1" applyFont="1" applyFill="1" applyBorder="1" applyAlignment="1">
      <alignment horizontal="center"/>
    </xf>
    <xf numFmtId="0" fontId="33" fillId="6" borderId="18" xfId="1" applyNumberFormat="1" applyFont="1" applyFill="1" applyBorder="1" applyAlignment="1">
      <alignment horizontal="center"/>
    </xf>
    <xf numFmtId="0" fontId="33" fillId="6" borderId="21" xfId="1" applyNumberFormat="1" applyFont="1" applyFill="1" applyBorder="1" applyAlignment="1">
      <alignment horizontal="center"/>
    </xf>
    <xf numFmtId="0" fontId="5" fillId="0" borderId="0" xfId="1" applyNumberFormat="1" applyFont="1" applyFill="1" applyBorder="1" applyAlignment="1"/>
    <xf numFmtId="14" fontId="8" fillId="0" borderId="25" xfId="1" applyNumberFormat="1" applyFont="1" applyBorder="1" applyAlignment="1">
      <alignment horizontal="center" vertical="center" wrapText="1"/>
    </xf>
    <xf numFmtId="0" fontId="33" fillId="6" borderId="12" xfId="1" applyNumberFormat="1" applyFont="1" applyFill="1" applyBorder="1" applyAlignment="1">
      <alignment horizontal="center"/>
    </xf>
    <xf numFmtId="167" fontId="5" fillId="0" borderId="23" xfId="1" applyNumberFormat="1" applyFont="1" applyBorder="1" applyAlignment="1">
      <alignment horizontal="center"/>
    </xf>
    <xf numFmtId="167" fontId="33" fillId="6" borderId="50" xfId="1" applyNumberFormat="1" applyFont="1" applyFill="1" applyBorder="1" applyAlignment="1">
      <alignment horizontal="center"/>
    </xf>
    <xf numFmtId="167" fontId="33" fillId="6" borderId="42" xfId="1" applyNumberFormat="1" applyFont="1" applyFill="1" applyBorder="1" applyAlignment="1">
      <alignment horizontal="center"/>
    </xf>
    <xf numFmtId="0" fontId="33" fillId="5" borderId="8" xfId="1" applyNumberFormat="1" applyFont="1" applyFill="1" applyBorder="1" applyAlignment="1">
      <alignment horizontal="center"/>
    </xf>
    <xf numFmtId="0" fontId="33" fillId="5" borderId="39" xfId="1" applyNumberFormat="1" applyFont="1" applyFill="1" applyBorder="1" applyAlignment="1">
      <alignment horizontal="center"/>
    </xf>
    <xf numFmtId="0" fontId="2" fillId="0" borderId="12" xfId="1" applyNumberFormat="1" applyFill="1" applyBorder="1" applyAlignment="1">
      <alignment horizontal="center"/>
    </xf>
    <xf numFmtId="0" fontId="2" fillId="0" borderId="18" xfId="1" applyNumberFormat="1" applyFill="1" applyBorder="1" applyAlignment="1">
      <alignment horizontal="center"/>
    </xf>
    <xf numFmtId="0" fontId="33" fillId="0" borderId="18" xfId="1" applyNumberFormat="1" applyFont="1" applyFill="1" applyBorder="1" applyAlignment="1">
      <alignment horizontal="center"/>
    </xf>
    <xf numFmtId="0" fontId="33" fillId="0" borderId="21" xfId="1" applyNumberFormat="1" applyFont="1" applyFill="1" applyBorder="1" applyAlignment="1">
      <alignment horizontal="center"/>
    </xf>
    <xf numFmtId="166" fontId="33" fillId="6" borderId="7" xfId="1" applyNumberFormat="1" applyFont="1" applyFill="1" applyBorder="1" applyAlignment="1">
      <alignment horizontal="center"/>
    </xf>
    <xf numFmtId="166" fontId="33" fillId="6" borderId="17" xfId="1" applyNumberFormat="1" applyFont="1" applyFill="1" applyBorder="1" applyAlignment="1">
      <alignment horizontal="center"/>
    </xf>
    <xf numFmtId="166" fontId="33" fillId="6" borderId="51" xfId="1" applyNumberFormat="1" applyFont="1" applyFill="1" applyBorder="1" applyAlignment="1">
      <alignment horizontal="center"/>
    </xf>
    <xf numFmtId="168" fontId="33" fillId="6" borderId="7" xfId="1" applyNumberFormat="1" applyFont="1" applyFill="1" applyBorder="1" applyAlignment="1">
      <alignment horizontal="center"/>
    </xf>
    <xf numFmtId="168" fontId="33" fillId="6" borderId="51" xfId="1" applyNumberFormat="1" applyFont="1" applyFill="1" applyBorder="1" applyAlignment="1">
      <alignment horizontal="center"/>
    </xf>
    <xf numFmtId="166" fontId="33" fillId="6" borderId="11" xfId="1" applyNumberFormat="1" applyFont="1" applyFill="1" applyBorder="1" applyAlignment="1">
      <alignment horizontal="center"/>
    </xf>
    <xf numFmtId="166" fontId="33" fillId="6" borderId="19" xfId="1" applyNumberFormat="1" applyFont="1" applyFill="1" applyBorder="1" applyAlignment="1">
      <alignment horizontal="center"/>
    </xf>
    <xf numFmtId="166" fontId="33" fillId="6" borderId="28" xfId="1" applyNumberFormat="1" applyFont="1" applyFill="1" applyBorder="1" applyAlignment="1">
      <alignment horizontal="center"/>
    </xf>
    <xf numFmtId="166" fontId="33" fillId="6" borderId="52" xfId="1" applyNumberFormat="1" applyFont="1" applyFill="1" applyBorder="1" applyAlignment="1">
      <alignment horizontal="center"/>
    </xf>
    <xf numFmtId="166" fontId="33" fillId="6" borderId="29" xfId="1" applyNumberFormat="1" applyFont="1" applyFill="1" applyBorder="1" applyAlignment="1">
      <alignment horizontal="center"/>
    </xf>
    <xf numFmtId="166" fontId="33" fillId="6" borderId="42" xfId="1" applyNumberFormat="1" applyFont="1" applyFill="1" applyBorder="1" applyAlignment="1">
      <alignment horizontal="center"/>
    </xf>
    <xf numFmtId="166" fontId="33" fillId="6" borderId="50" xfId="1" applyNumberFormat="1" applyFont="1" applyFill="1" applyBorder="1" applyAlignment="1">
      <alignment horizontal="center"/>
    </xf>
    <xf numFmtId="166" fontId="33" fillId="6" borderId="49" xfId="1" applyNumberFormat="1" applyFont="1" applyFill="1" applyBorder="1" applyAlignment="1">
      <alignment horizontal="center"/>
    </xf>
    <xf numFmtId="0" fontId="35" fillId="0" borderId="0" xfId="0" applyFont="1" applyBorder="1"/>
    <xf numFmtId="0" fontId="25" fillId="0" borderId="0" xfId="0" applyFont="1" applyBorder="1"/>
    <xf numFmtId="0" fontId="5" fillId="0" borderId="27" xfId="1" applyNumberFormat="1" applyFont="1" applyBorder="1" applyAlignment="1">
      <alignment horizontal="center" vertical="center"/>
    </xf>
    <xf numFmtId="0" fontId="5" fillId="0" borderId="29" xfId="1" applyNumberFormat="1" applyFont="1" applyBorder="1" applyAlignment="1">
      <alignment horizontal="center" vertical="center"/>
    </xf>
    <xf numFmtId="164" fontId="7" fillId="2" borderId="26" xfId="1" applyFont="1" applyFill="1" applyBorder="1" applyAlignment="1">
      <alignment horizontal="center"/>
    </xf>
    <xf numFmtId="164" fontId="7" fillId="2" borderId="28" xfId="1" applyFont="1" applyFill="1" applyBorder="1" applyAlignment="1">
      <alignment horizontal="center"/>
    </xf>
    <xf numFmtId="0" fontId="24" fillId="0" borderId="0" xfId="3" applyNumberFormat="1" applyFont="1" applyAlignment="1">
      <alignment horizontal="center"/>
    </xf>
    <xf numFmtId="0" fontId="13" fillId="0" borderId="0" xfId="0" applyFont="1" applyAlignment="1">
      <alignment horizontal="center" vertical="center"/>
    </xf>
    <xf numFmtId="0" fontId="8" fillId="0" borderId="2" xfId="1" applyNumberFormat="1" applyFont="1" applyBorder="1" applyAlignment="1">
      <alignment horizontal="center"/>
    </xf>
    <xf numFmtId="0" fontId="8" fillId="0" borderId="4" xfId="1" applyNumberFormat="1" applyFont="1" applyBorder="1" applyAlignment="1">
      <alignment horizontal="center"/>
    </xf>
    <xf numFmtId="0" fontId="8" fillId="0" borderId="3" xfId="1" applyNumberFormat="1" applyFont="1" applyBorder="1" applyAlignment="1">
      <alignment horizontal="center"/>
    </xf>
    <xf numFmtId="0" fontId="31" fillId="0" borderId="25" xfId="1" applyNumberFormat="1" applyFont="1" applyBorder="1" applyAlignment="1">
      <alignment horizontal="center" vertical="center"/>
    </xf>
    <xf numFmtId="0" fontId="31" fillId="0" borderId="30" xfId="1" applyNumberFormat="1" applyFont="1" applyBorder="1" applyAlignment="1">
      <alignment horizontal="center" vertical="center"/>
    </xf>
    <xf numFmtId="0" fontId="31" fillId="0" borderId="31" xfId="1" applyNumberFormat="1" applyFont="1" applyBorder="1" applyAlignment="1">
      <alignment horizontal="center" vertical="center"/>
    </xf>
    <xf numFmtId="0" fontId="31" fillId="0" borderId="34" xfId="1" applyNumberFormat="1" applyFont="1" applyBorder="1" applyAlignment="1">
      <alignment horizontal="center" vertical="center"/>
    </xf>
    <xf numFmtId="0" fontId="31" fillId="0" borderId="35" xfId="1" applyNumberFormat="1" applyFont="1" applyBorder="1" applyAlignment="1">
      <alignment horizontal="center" vertical="center"/>
    </xf>
    <xf numFmtId="0" fontId="31" fillId="0" borderId="36" xfId="1" applyNumberFormat="1" applyFont="1" applyBorder="1" applyAlignment="1">
      <alignment horizontal="center" vertical="center"/>
    </xf>
    <xf numFmtId="14" fontId="31" fillId="0" borderId="2" xfId="1" applyNumberFormat="1" applyFont="1" applyBorder="1" applyAlignment="1">
      <alignment horizontal="center"/>
    </xf>
    <xf numFmtId="14" fontId="31" fillId="0" borderId="3" xfId="1" applyNumberFormat="1" applyFont="1" applyBorder="1" applyAlignment="1">
      <alignment horizontal="center"/>
    </xf>
    <xf numFmtId="14" fontId="31" fillId="0" borderId="4" xfId="1" applyNumberFormat="1" applyFont="1" applyBorder="1" applyAlignment="1">
      <alignment horizontal="center"/>
    </xf>
    <xf numFmtId="14" fontId="31" fillId="0" borderId="0" xfId="1" applyNumberFormat="1" applyFont="1" applyFill="1" applyBorder="1" applyAlignment="1">
      <alignment horizontal="center"/>
    </xf>
    <xf numFmtId="0" fontId="28" fillId="0" borderId="0" xfId="0" applyFont="1" applyAlignment="1">
      <alignment horizontal="left"/>
    </xf>
    <xf numFmtId="2" fontId="35" fillId="0" borderId="0" xfId="1" applyNumberFormat="1" applyFont="1" applyFill="1" applyBorder="1" applyAlignment="1">
      <alignment horizontal="center"/>
    </xf>
    <xf numFmtId="14" fontId="5" fillId="0" borderId="2" xfId="1" applyNumberFormat="1" applyFont="1" applyBorder="1" applyAlignment="1">
      <alignment horizontal="center"/>
    </xf>
    <xf numFmtId="14" fontId="5" fillId="0" borderId="3" xfId="1" applyNumberFormat="1" applyFont="1" applyBorder="1" applyAlignment="1">
      <alignment horizontal="center"/>
    </xf>
    <xf numFmtId="14" fontId="5" fillId="0" borderId="4" xfId="1" applyNumberFormat="1" applyFont="1" applyBorder="1" applyAlignment="1">
      <alignment horizontal="center"/>
    </xf>
    <xf numFmtId="0" fontId="12" fillId="0" borderId="0" xfId="3" applyNumberFormat="1" applyFont="1" applyAlignment="1">
      <alignment horizontal="center" vertical="center"/>
    </xf>
    <xf numFmtId="0" fontId="12" fillId="0" borderId="0" xfId="3" applyNumberFormat="1" applyFont="1" applyAlignment="1">
      <alignment horizontal="left" vertical="top"/>
    </xf>
    <xf numFmtId="0" fontId="12" fillId="0" borderId="0" xfId="3" applyNumberFormat="1" applyFont="1" applyAlignment="1">
      <alignment horizontal="left"/>
    </xf>
    <xf numFmtId="164" fontId="7" fillId="4" borderId="2" xfId="1" applyFont="1" applyFill="1" applyBorder="1" applyAlignment="1">
      <alignment horizontal="center"/>
    </xf>
    <xf numFmtId="164" fontId="7" fillId="4" borderId="3" xfId="1" applyFont="1" applyFill="1" applyBorder="1" applyAlignment="1">
      <alignment horizontal="center"/>
    </xf>
    <xf numFmtId="164" fontId="7" fillId="4" borderId="4" xfId="1" applyFont="1" applyFill="1" applyBorder="1" applyAlignment="1">
      <alignment horizontal="center"/>
    </xf>
    <xf numFmtId="164" fontId="32" fillId="2" borderId="25" xfId="1" applyFont="1" applyFill="1" applyBorder="1" applyAlignment="1">
      <alignment horizontal="center"/>
    </xf>
    <xf numFmtId="164" fontId="32" fillId="2" borderId="31" xfId="1" applyFont="1" applyFill="1" applyBorder="1" applyAlignment="1">
      <alignment horizontal="center"/>
    </xf>
    <xf numFmtId="0" fontId="8" fillId="0" borderId="34" xfId="1" applyNumberFormat="1" applyFont="1" applyBorder="1" applyAlignment="1">
      <alignment horizontal="center"/>
    </xf>
    <xf numFmtId="0" fontId="8" fillId="0" borderId="36" xfId="1" applyNumberFormat="1" applyFont="1" applyBorder="1" applyAlignment="1">
      <alignment horizontal="center"/>
    </xf>
    <xf numFmtId="164" fontId="32" fillId="2" borderId="30" xfId="1" applyFont="1" applyFill="1" applyBorder="1" applyAlignment="1">
      <alignment horizontal="center"/>
    </xf>
    <xf numFmtId="0" fontId="33" fillId="0" borderId="34" xfId="1" applyNumberFormat="1" applyFont="1" applyBorder="1" applyAlignment="1">
      <alignment horizontal="center"/>
    </xf>
    <xf numFmtId="0" fontId="33" fillId="0" borderId="35" xfId="1" applyNumberFormat="1" applyFont="1" applyBorder="1" applyAlignment="1">
      <alignment horizontal="center"/>
    </xf>
    <xf numFmtId="0" fontId="33" fillId="0" borderId="36" xfId="1" applyNumberFormat="1" applyFont="1" applyBorder="1" applyAlignment="1">
      <alignment horizontal="center"/>
    </xf>
    <xf numFmtId="164" fontId="7" fillId="2" borderId="32" xfId="1" applyFont="1" applyFill="1" applyBorder="1" applyAlignment="1">
      <alignment horizontal="center" vertical="center"/>
    </xf>
    <xf numFmtId="164" fontId="7" fillId="2" borderId="0" xfId="1" applyFont="1" applyFill="1" applyAlignment="1">
      <alignment horizontal="center" vertical="center"/>
    </xf>
    <xf numFmtId="0" fontId="0" fillId="0" borderId="1" xfId="0" applyBorder="1" applyAlignment="1">
      <alignment horizontal="center"/>
    </xf>
    <xf numFmtId="0" fontId="5" fillId="0" borderId="27" xfId="1" applyNumberFormat="1" applyFont="1" applyBorder="1" applyAlignment="1">
      <alignment horizontal="center"/>
    </xf>
    <xf numFmtId="0" fontId="5" fillId="0" borderId="29" xfId="1" applyNumberFormat="1" applyFont="1" applyBorder="1" applyAlignment="1">
      <alignment horizontal="center"/>
    </xf>
  </cellXfs>
  <cellStyles count="4">
    <cellStyle name="Normal" xfId="0" builtinId="0"/>
    <cellStyle name="Normal 3 2" xfId="3"/>
    <cellStyle name="Normal 5" xfId="1"/>
    <cellStyle name="Porcentual 5" xfId="2"/>
  </cellStyles>
  <dxfs count="15">
    <dxf>
      <numFmt numFmtId="2" formatCode="0.00"/>
    </dxf>
    <dxf>
      <numFmt numFmtId="2" formatCode="0.00"/>
    </dxf>
    <dxf>
      <alignment horizontal="center" readingOrder="0"/>
    </dxf>
    <dxf>
      <alignment horizontal="center" readingOrder="0"/>
    </dxf>
    <dxf>
      <numFmt numFmtId="2" formatCode="0.00"/>
    </dxf>
    <dxf>
      <alignment horizontal="center" readingOrder="0"/>
    </dxf>
    <dxf>
      <numFmt numFmtId="2" formatCode="0.00"/>
    </dxf>
    <dxf>
      <alignment vertical="center" readingOrder="0"/>
    </dxf>
    <dxf>
      <alignment horizontal="center" readingOrder="0"/>
    </dxf>
    <dxf>
      <alignment wrapText="1" readingOrder="0"/>
    </dxf>
    <dxf>
      <alignment wrapText="1" readingOrder="0"/>
    </dxf>
    <dxf>
      <font>
        <color rgb="FF9C0006"/>
      </font>
      <fill>
        <patternFill>
          <bgColor rgb="FFFFC7CE"/>
        </patternFill>
      </fill>
    </dxf>
    <dxf>
      <font>
        <b/>
        <i val="0"/>
      </font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2" defaultTableStyle="TableStyleMedium2" defaultPivotStyle="PivotStyleLight16">
    <tableStyle name="Estilo de tabla dinámica 1" table="0" count="1">
      <tableStyleElement type="wholeTable" dxfId="14"/>
    </tableStyle>
    <tableStyle name="Estilo de tabla dinámica 2" table="0" count="2">
      <tableStyleElement type="wholeTable" dxfId="13"/>
      <tableStyleElement type="headerRow" dxfId="1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506307</xdr:colOff>
      <xdr:row>44</xdr:row>
      <xdr:rowOff>15240</xdr:rowOff>
    </xdr:from>
    <xdr:to>
      <xdr:col>10</xdr:col>
      <xdr:colOff>1443567</xdr:colOff>
      <xdr:row>44</xdr:row>
      <xdr:rowOff>15240</xdr:rowOff>
    </xdr:to>
    <xdr:cxnSp macro="">
      <xdr:nvCxnSpPr>
        <xdr:cNvPr id="16" name="Conector recto 15">
          <a:extLst>
            <a:ext uri="{FF2B5EF4-FFF2-40B4-BE49-F238E27FC236}">
              <a16:creationId xmlns="" xmlns:a16="http://schemas.microsoft.com/office/drawing/2014/main" id="{00000000-0008-0000-0000-000010000000}"/>
            </a:ext>
          </a:extLst>
        </xdr:cNvPr>
        <xdr:cNvCxnSpPr/>
      </xdr:nvCxnSpPr>
      <xdr:spPr>
        <a:xfrm>
          <a:off x="9639724" y="8704157"/>
          <a:ext cx="1879176" cy="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538057</xdr:colOff>
      <xdr:row>9</xdr:row>
      <xdr:rowOff>142240</xdr:rowOff>
    </xdr:from>
    <xdr:to>
      <xdr:col>10</xdr:col>
      <xdr:colOff>1475317</xdr:colOff>
      <xdr:row>9</xdr:row>
      <xdr:rowOff>142240</xdr:rowOff>
    </xdr:to>
    <xdr:cxnSp macro="">
      <xdr:nvCxnSpPr>
        <xdr:cNvPr id="23" name="Conector recto 22">
          <a:extLst>
            <a:ext uri="{FF2B5EF4-FFF2-40B4-BE49-F238E27FC236}">
              <a16:creationId xmlns="" xmlns:a16="http://schemas.microsoft.com/office/drawing/2014/main" id="{00000000-0008-0000-0000-000007000000}"/>
            </a:ext>
          </a:extLst>
        </xdr:cNvPr>
        <xdr:cNvCxnSpPr/>
      </xdr:nvCxnSpPr>
      <xdr:spPr>
        <a:xfrm>
          <a:off x="9671474" y="2015490"/>
          <a:ext cx="1879176" cy="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548640</xdr:colOff>
      <xdr:row>12</xdr:row>
      <xdr:rowOff>57573</xdr:rowOff>
    </xdr:from>
    <xdr:to>
      <xdr:col>10</xdr:col>
      <xdr:colOff>1485900</xdr:colOff>
      <xdr:row>12</xdr:row>
      <xdr:rowOff>57573</xdr:rowOff>
    </xdr:to>
    <xdr:cxnSp macro="">
      <xdr:nvCxnSpPr>
        <xdr:cNvPr id="24" name="Conector recto 23">
          <a:extLst>
            <a:ext uri="{FF2B5EF4-FFF2-40B4-BE49-F238E27FC236}">
              <a16:creationId xmlns="" xmlns:a16="http://schemas.microsoft.com/office/drawing/2014/main" id="{00000000-0008-0000-0000-000007000000}"/>
            </a:ext>
          </a:extLst>
        </xdr:cNvPr>
        <xdr:cNvCxnSpPr/>
      </xdr:nvCxnSpPr>
      <xdr:spPr>
        <a:xfrm>
          <a:off x="9682057" y="2512906"/>
          <a:ext cx="1879176" cy="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553859</xdr:colOff>
      <xdr:row>16</xdr:row>
      <xdr:rowOff>179207</xdr:rowOff>
    </xdr:from>
    <xdr:to>
      <xdr:col>10</xdr:col>
      <xdr:colOff>1491119</xdr:colOff>
      <xdr:row>16</xdr:row>
      <xdr:rowOff>179207</xdr:rowOff>
    </xdr:to>
    <xdr:cxnSp macro="">
      <xdr:nvCxnSpPr>
        <xdr:cNvPr id="18" name="Conector recto 17">
          <a:extLst>
            <a:ext uri="{FF2B5EF4-FFF2-40B4-BE49-F238E27FC236}">
              <a16:creationId xmlns="" xmlns:a16="http://schemas.microsoft.com/office/drawing/2014/main" id="{00000000-0008-0000-0000-000010000000}"/>
            </a:ext>
          </a:extLst>
        </xdr:cNvPr>
        <xdr:cNvCxnSpPr/>
      </xdr:nvCxnSpPr>
      <xdr:spPr>
        <a:xfrm>
          <a:off x="10178539" y="3446504"/>
          <a:ext cx="1878685" cy="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538591</xdr:colOff>
      <xdr:row>18</xdr:row>
      <xdr:rowOff>172553</xdr:rowOff>
    </xdr:from>
    <xdr:to>
      <xdr:col>10</xdr:col>
      <xdr:colOff>1475851</xdr:colOff>
      <xdr:row>18</xdr:row>
      <xdr:rowOff>172553</xdr:rowOff>
    </xdr:to>
    <xdr:cxnSp macro="">
      <xdr:nvCxnSpPr>
        <xdr:cNvPr id="19" name="Conector recto 18">
          <a:extLst>
            <a:ext uri="{FF2B5EF4-FFF2-40B4-BE49-F238E27FC236}">
              <a16:creationId xmlns="" xmlns:a16="http://schemas.microsoft.com/office/drawing/2014/main" id="{00000000-0008-0000-0000-000010000000}"/>
            </a:ext>
          </a:extLst>
        </xdr:cNvPr>
        <xdr:cNvCxnSpPr/>
      </xdr:nvCxnSpPr>
      <xdr:spPr>
        <a:xfrm>
          <a:off x="10163271" y="3838570"/>
          <a:ext cx="1878685" cy="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509555</xdr:colOff>
      <xdr:row>27</xdr:row>
      <xdr:rowOff>2000</xdr:rowOff>
    </xdr:from>
    <xdr:to>
      <xdr:col>10</xdr:col>
      <xdr:colOff>1446815</xdr:colOff>
      <xdr:row>27</xdr:row>
      <xdr:rowOff>2000</xdr:rowOff>
    </xdr:to>
    <xdr:cxnSp macro="">
      <xdr:nvCxnSpPr>
        <xdr:cNvPr id="20" name="Conector recto 19">
          <a:extLst>
            <a:ext uri="{FF2B5EF4-FFF2-40B4-BE49-F238E27FC236}">
              <a16:creationId xmlns="" xmlns:a16="http://schemas.microsoft.com/office/drawing/2014/main" id="{00000000-0008-0000-0000-000010000000}"/>
            </a:ext>
          </a:extLst>
        </xdr:cNvPr>
        <xdr:cNvCxnSpPr/>
      </xdr:nvCxnSpPr>
      <xdr:spPr>
        <a:xfrm>
          <a:off x="10134235" y="5661622"/>
          <a:ext cx="1878685" cy="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521757</xdr:colOff>
      <xdr:row>28</xdr:row>
      <xdr:rowOff>177871</xdr:rowOff>
    </xdr:from>
    <xdr:to>
      <xdr:col>10</xdr:col>
      <xdr:colOff>1459017</xdr:colOff>
      <xdr:row>28</xdr:row>
      <xdr:rowOff>177871</xdr:rowOff>
    </xdr:to>
    <xdr:cxnSp macro="">
      <xdr:nvCxnSpPr>
        <xdr:cNvPr id="21" name="Conector recto 20">
          <a:extLst>
            <a:ext uri="{FF2B5EF4-FFF2-40B4-BE49-F238E27FC236}">
              <a16:creationId xmlns="" xmlns:a16="http://schemas.microsoft.com/office/drawing/2014/main" id="{00000000-0008-0000-0000-000010000000}"/>
            </a:ext>
          </a:extLst>
        </xdr:cNvPr>
        <xdr:cNvCxnSpPr/>
      </xdr:nvCxnSpPr>
      <xdr:spPr>
        <a:xfrm>
          <a:off x="10146437" y="4840691"/>
          <a:ext cx="1878685" cy="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556882</xdr:colOff>
      <xdr:row>31</xdr:row>
      <xdr:rowOff>191161</xdr:rowOff>
    </xdr:from>
    <xdr:to>
      <xdr:col>10</xdr:col>
      <xdr:colOff>1494142</xdr:colOff>
      <xdr:row>31</xdr:row>
      <xdr:rowOff>191161</xdr:rowOff>
    </xdr:to>
    <xdr:cxnSp macro="">
      <xdr:nvCxnSpPr>
        <xdr:cNvPr id="25" name="Conector recto 24">
          <a:extLst>
            <a:ext uri="{FF2B5EF4-FFF2-40B4-BE49-F238E27FC236}">
              <a16:creationId xmlns="" xmlns:a16="http://schemas.microsoft.com/office/drawing/2014/main" id="{00000000-0008-0000-0000-000010000000}"/>
            </a:ext>
          </a:extLst>
        </xdr:cNvPr>
        <xdr:cNvCxnSpPr/>
      </xdr:nvCxnSpPr>
      <xdr:spPr>
        <a:xfrm>
          <a:off x="10181562" y="5452062"/>
          <a:ext cx="1878685" cy="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532832</xdr:colOff>
      <xdr:row>34</xdr:row>
      <xdr:rowOff>661</xdr:rowOff>
    </xdr:from>
    <xdr:to>
      <xdr:col>10</xdr:col>
      <xdr:colOff>1470092</xdr:colOff>
      <xdr:row>34</xdr:row>
      <xdr:rowOff>661</xdr:rowOff>
    </xdr:to>
    <xdr:cxnSp macro="">
      <xdr:nvCxnSpPr>
        <xdr:cNvPr id="27" name="Conector recto 26">
          <a:extLst>
            <a:ext uri="{FF2B5EF4-FFF2-40B4-BE49-F238E27FC236}">
              <a16:creationId xmlns="" xmlns:a16="http://schemas.microsoft.com/office/drawing/2014/main" id="{00000000-0008-0000-0000-000010000000}"/>
            </a:ext>
          </a:extLst>
        </xdr:cNvPr>
        <xdr:cNvCxnSpPr/>
      </xdr:nvCxnSpPr>
      <xdr:spPr>
        <a:xfrm>
          <a:off x="10157512" y="5859644"/>
          <a:ext cx="1878685" cy="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520998</xdr:colOff>
      <xdr:row>37</xdr:row>
      <xdr:rowOff>222</xdr:rowOff>
    </xdr:from>
    <xdr:to>
      <xdr:col>10</xdr:col>
      <xdr:colOff>1458258</xdr:colOff>
      <xdr:row>37</xdr:row>
      <xdr:rowOff>222</xdr:rowOff>
    </xdr:to>
    <xdr:cxnSp macro="">
      <xdr:nvCxnSpPr>
        <xdr:cNvPr id="28" name="Conector recto 27">
          <a:extLst>
            <a:ext uri="{FF2B5EF4-FFF2-40B4-BE49-F238E27FC236}">
              <a16:creationId xmlns="" xmlns:a16="http://schemas.microsoft.com/office/drawing/2014/main" id="{00000000-0008-0000-0000-000010000000}"/>
            </a:ext>
          </a:extLst>
        </xdr:cNvPr>
        <xdr:cNvCxnSpPr/>
      </xdr:nvCxnSpPr>
      <xdr:spPr>
        <a:xfrm>
          <a:off x="10145678" y="6656646"/>
          <a:ext cx="1878685" cy="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496947</xdr:colOff>
      <xdr:row>39</xdr:row>
      <xdr:rowOff>20154</xdr:rowOff>
    </xdr:from>
    <xdr:to>
      <xdr:col>10</xdr:col>
      <xdr:colOff>1434207</xdr:colOff>
      <xdr:row>39</xdr:row>
      <xdr:rowOff>20154</xdr:rowOff>
    </xdr:to>
    <xdr:cxnSp macro="">
      <xdr:nvCxnSpPr>
        <xdr:cNvPr id="29" name="Conector recto 28">
          <a:extLst>
            <a:ext uri="{FF2B5EF4-FFF2-40B4-BE49-F238E27FC236}">
              <a16:creationId xmlns="" xmlns:a16="http://schemas.microsoft.com/office/drawing/2014/main" id="{00000000-0008-0000-0000-000010000000}"/>
            </a:ext>
          </a:extLst>
        </xdr:cNvPr>
        <xdr:cNvCxnSpPr/>
      </xdr:nvCxnSpPr>
      <xdr:spPr>
        <a:xfrm>
          <a:off x="10121627" y="7274660"/>
          <a:ext cx="1878685" cy="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507264</xdr:colOff>
      <xdr:row>41</xdr:row>
      <xdr:rowOff>196922</xdr:rowOff>
    </xdr:from>
    <xdr:to>
      <xdr:col>10</xdr:col>
      <xdr:colOff>1444524</xdr:colOff>
      <xdr:row>41</xdr:row>
      <xdr:rowOff>196922</xdr:rowOff>
    </xdr:to>
    <xdr:cxnSp macro="">
      <xdr:nvCxnSpPr>
        <xdr:cNvPr id="30" name="Conector recto 29">
          <a:extLst>
            <a:ext uri="{FF2B5EF4-FFF2-40B4-BE49-F238E27FC236}">
              <a16:creationId xmlns="" xmlns:a16="http://schemas.microsoft.com/office/drawing/2014/main" id="{00000000-0008-0000-0000-000010000000}"/>
            </a:ext>
          </a:extLst>
        </xdr:cNvPr>
        <xdr:cNvCxnSpPr/>
      </xdr:nvCxnSpPr>
      <xdr:spPr>
        <a:xfrm>
          <a:off x="10131944" y="7451428"/>
          <a:ext cx="1878685" cy="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551201</xdr:colOff>
      <xdr:row>21</xdr:row>
      <xdr:rowOff>198700</xdr:rowOff>
    </xdr:from>
    <xdr:to>
      <xdr:col>10</xdr:col>
      <xdr:colOff>1488461</xdr:colOff>
      <xdr:row>21</xdr:row>
      <xdr:rowOff>198700</xdr:rowOff>
    </xdr:to>
    <xdr:cxnSp macro="">
      <xdr:nvCxnSpPr>
        <xdr:cNvPr id="14" name="Conector recto 13">
          <a:extLst>
            <a:ext uri="{FF2B5EF4-FFF2-40B4-BE49-F238E27FC236}">
              <a16:creationId xmlns="" xmlns:a16="http://schemas.microsoft.com/office/drawing/2014/main" id="{00000000-0008-0000-0000-000010000000}"/>
            </a:ext>
          </a:extLst>
        </xdr:cNvPr>
        <xdr:cNvCxnSpPr/>
      </xdr:nvCxnSpPr>
      <xdr:spPr>
        <a:xfrm>
          <a:off x="10175881" y="4462799"/>
          <a:ext cx="1878685" cy="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538591</xdr:colOff>
      <xdr:row>23</xdr:row>
      <xdr:rowOff>172553</xdr:rowOff>
    </xdr:from>
    <xdr:to>
      <xdr:col>10</xdr:col>
      <xdr:colOff>1475851</xdr:colOff>
      <xdr:row>23</xdr:row>
      <xdr:rowOff>172553</xdr:rowOff>
    </xdr:to>
    <xdr:cxnSp macro="">
      <xdr:nvCxnSpPr>
        <xdr:cNvPr id="15" name="Conector recto 14">
          <a:extLst>
            <a:ext uri="{FF2B5EF4-FFF2-40B4-BE49-F238E27FC236}">
              <a16:creationId xmlns="" xmlns:a16="http://schemas.microsoft.com/office/drawing/2014/main" id="{00000000-0008-0000-0000-000010000000}"/>
            </a:ext>
          </a:extLst>
        </xdr:cNvPr>
        <xdr:cNvCxnSpPr/>
      </xdr:nvCxnSpPr>
      <xdr:spPr>
        <a:xfrm>
          <a:off x="10163271" y="3838570"/>
          <a:ext cx="1878685" cy="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Usager" refreshedDate="42132.517686458334" createdVersion="5" refreshedVersion="5" minRefreshableVersion="3" recordCount="1">
  <cacheSource type="worksheet">
    <worksheetSource ref="A11:N11" sheet="LMP"/>
  </cacheSource>
  <cacheFields count="34">
    <cacheField name="OT" numFmtId="0">
      <sharedItems/>
    </cacheField>
    <cacheField name="CLIENTE" numFmtId="0">
      <sharedItems/>
    </cacheField>
    <cacheField name="PRODUCTO" numFmtId="0">
      <sharedItems/>
    </cacheField>
    <cacheField name="Ubicación" numFmtId="0">
      <sharedItems containsNonDate="0" containsString="0" containsBlank="1"/>
    </cacheField>
    <cacheField name="COMPONENTE" numFmtId="0">
      <sharedItems count="1">
        <s v="REGLAS DE BANCA"/>
      </sharedItems>
    </cacheField>
    <cacheField name="Código" numFmtId="0">
      <sharedItems containsNonDate="0" containsString="0" containsBlank="1"/>
    </cacheField>
    <cacheField name="Cantidad" numFmtId="0">
      <sharedItems containsSemiMixedTypes="0" containsString="0" containsNumber="1" containsInteger="1" minValue="128" maxValue="128" count="1">
        <n v="128"/>
      </sharedItems>
    </cacheField>
    <cacheField name="Grosor neto cm" numFmtId="0">
      <sharedItems containsSemiMixedTypes="0" containsString="0" containsNumber="1" containsInteger="1" minValue="2" maxValue="2"/>
    </cacheField>
    <cacheField name="Ancho neto cm" numFmtId="0">
      <sharedItems containsSemiMixedTypes="0" containsString="0" containsNumber="1" minValue="11.5" maxValue="11.5"/>
    </cacheField>
    <cacheField name="Largo neto cm" numFmtId="0">
      <sharedItems containsSemiMixedTypes="0" containsString="0" containsNumber="1" containsInteger="1" minValue="43" maxValue="43"/>
    </cacheField>
    <cacheField name="Material" numFmtId="0">
      <sharedItems/>
    </cacheField>
    <cacheField name="Estado" numFmtId="0">
      <sharedItems/>
    </cacheField>
    <cacheField name="Especie" numFmtId="0">
      <sharedItems count="1">
        <s v="Guapinol"/>
      </sharedItems>
    </cacheField>
    <cacheField name="Calidad" numFmtId="0">
      <sharedItems count="1">
        <s v="1CL"/>
      </sharedItems>
    </cacheField>
    <cacheField name="Acabado" numFmtId="0">
      <sharedItems/>
    </cacheField>
    <cacheField name="Grosor neto plg" numFmtId="2">
      <sharedItems containsSemiMixedTypes="0" containsString="0" containsNumber="1" minValue="0.78740157480314954" maxValue="0.78740157480314954"/>
    </cacheField>
    <cacheField name="Ancho neto plg" numFmtId="2">
      <sharedItems containsSemiMixedTypes="0" containsString="0" containsNumber="1" minValue="4.5275590551181102" maxValue="4.5275590551181102"/>
    </cacheField>
    <cacheField name="Largo neto plg" numFmtId="2">
      <sharedItems containsSemiMixedTypes="0" containsString="0" containsNumber="1" minValue="16.929133858267715" maxValue="16.929133858267715"/>
    </cacheField>
    <cacheField name="Grosor min. S2S" numFmtId="2">
      <sharedItems containsSemiMixedTypes="0" containsString="0" containsNumber="1" minValue="1.0374015748031495" maxValue="1.0374015748031495"/>
    </cacheField>
    <cacheField name="Grosor S2S nominal" numFmtId="165">
      <sharedItems containsSemiMixedTypes="0" containsString="0" containsNumber="1" minValue="1.04" maxValue="1.04"/>
    </cacheField>
    <cacheField name="Grosor basto plg" numFmtId="165">
      <sharedItems containsSemiMixedTypes="0" containsString="0" containsNumber="1" minValue="1.0374015748031495" maxValue="1.0374015748031495" count="1">
        <n v="1.0374015748031495"/>
      </sharedItems>
    </cacheField>
    <cacheField name="Ancho basto plg" numFmtId="166">
      <sharedItems containsSemiMixedTypes="0" containsString="0" containsNumber="1" containsInteger="1" minValue="5" maxValue="5"/>
    </cacheField>
    <cacheField name="Largo basto plg" numFmtId="1">
      <sharedItems containsSemiMixedTypes="0" containsString="0" containsNumber="1" containsInteger="1" minValue="19" maxValue="19"/>
    </cacheField>
    <cacheField name="dif largo" numFmtId="2">
      <sharedItems containsSemiMixedTypes="0" containsString="0" containsNumber="1" minValue="2.0708661417322851" maxValue="2.0708661417322851"/>
    </cacheField>
    <cacheField name="dif grueso" numFmtId="0">
      <sharedItems containsSemiMixedTypes="0" containsString="0" containsNumber="1" minValue="0.25" maxValue="0.25"/>
    </cacheField>
    <cacheField name="Grosor rústico (aserrío)" numFmtId="165">
      <sharedItems containsSemiMixedTypes="0" containsString="0" containsNumber="1" minValue="1.1624015748031495" maxValue="1.1624015748031495"/>
    </cacheField>
    <cacheField name="m2 (superficie)" numFmtId="2">
      <sharedItems containsSemiMixedTypes="0" containsString="0" containsNumber="1" minValue="14.860800000000001" maxValue="14.860800000000001"/>
    </cacheField>
    <cacheField name="PT neto " numFmtId="2">
      <sharedItems containsSemiMixedTypes="0" containsString="0" containsNumber="1" minValue="53.675007999999991" maxValue="53.675007999999991"/>
    </cacheField>
    <cacheField name="PT basto " numFmtId="2">
      <sharedItems containsSemiMixedTypes="0" containsString="0" containsNumber="1" minValue="87.60279965004375" maxValue="87.60279965004375"/>
    </cacheField>
    <cacheField name="PT ingreso total(65%)" numFmtId="2">
      <sharedItems containsSemiMixedTypes="0" containsString="0" containsNumber="1" minValue="134.77353792314423" maxValue="134.77353792314423"/>
    </cacheField>
    <cacheField name="Grosor bruto plg" numFmtId="165">
      <sharedItems containsSemiMixedTypes="0" containsString="0" containsNumber="1" minValue="1.1624015748031495" maxValue="1.1624015748031495"/>
    </cacheField>
    <cacheField name="Ancho bruto plg" numFmtId="166">
      <sharedItems containsSemiMixedTypes="0" containsString="0" containsNumber="1" containsInteger="1" minValue="6" maxValue="6" count="1">
        <n v="6"/>
      </sharedItems>
    </cacheField>
    <cacheField name="Largo bruto (pie)" numFmtId="1">
      <sharedItems containsSemiMixedTypes="0" containsString="0" containsNumber="1" containsInteger="1" minValue="2" maxValue="2" count="1">
        <n v="2"/>
      </sharedItems>
    </cacheField>
    <cacheField name="PT bruto" numFmtId="2">
      <sharedItems containsSemiMixedTypes="0" containsString="0" containsNumber="1" minValue="148.78740157480314" maxValue="148.7874015748031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Enmanuel" refreshedDate="43718.655552083335" createdVersion="5" refreshedVersion="5" minRefreshableVersion="3" recordCount="18">
  <cacheSource type="worksheet">
    <worksheetSource ref="A11:N26" sheet="LMP"/>
  </cacheSource>
  <cacheFields count="14">
    <cacheField name="COMPONENTE" numFmtId="0">
      <sharedItems containsNonDate="0" containsString="0" containsBlank="1"/>
    </cacheField>
    <cacheField name="Piezas unit." numFmtId="0">
      <sharedItems containsNonDate="0" containsString="0" containsBlank="1"/>
    </cacheField>
    <cacheField name="Total piezas" numFmtId="0">
      <sharedItems/>
    </cacheField>
    <cacheField name="Bruto plg" numFmtId="168">
      <sharedItems count="1">
        <s v=" "/>
      </sharedItems>
    </cacheField>
    <cacheField name="Neto cm" numFmtId="0">
      <sharedItems containsNonDate="0" containsString="0" containsBlank="1"/>
    </cacheField>
    <cacheField name="Bruto plg2" numFmtId="166">
      <sharedItems/>
    </cacheField>
    <cacheField name="Neto cm2" numFmtId="0">
      <sharedItems containsNonDate="0" containsString="0" containsBlank="1"/>
    </cacheField>
    <cacheField name="Bruto plg3" numFmtId="168">
      <sharedItems/>
    </cacheField>
    <cacheField name="Neto cm3" numFmtId="0">
      <sharedItems containsNonDate="0" containsString="0" containsBlank="1"/>
    </cacheField>
    <cacheField name="Bruto Pies" numFmtId="166">
      <sharedItems count="1">
        <s v=" "/>
      </sharedItems>
    </cacheField>
    <cacheField name="PT Bruto" numFmtId="167">
      <sharedItems/>
    </cacheField>
    <cacheField name="Material" numFmtId="0">
      <sharedItems containsNonDate="0" containsString="0" containsBlank="1"/>
    </cacheField>
    <cacheField name="Especie" numFmtId="49">
      <sharedItems containsNonDate="0" containsString="0" containsBlank="1" count="1">
        <m/>
      </sharedItems>
    </cacheField>
    <cacheField name="Calidad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">
  <r>
    <s v="AGR/SMM 15050210"/>
    <s v="ALFRESCO CONCEPTS LTD"/>
    <s v="BANCA PARA MESA CURVA"/>
    <m/>
    <x v="0"/>
    <m/>
    <x v="0"/>
    <n v="2"/>
    <n v="11.5"/>
    <n v="43"/>
    <s v="Madera"/>
    <s v="Deck"/>
    <x v="0"/>
    <x v="0"/>
    <s v="Aceite "/>
    <n v="0.78740157480314954"/>
    <n v="4.5275590551181102"/>
    <n v="16.929133858267715"/>
    <n v="1.0374015748031495"/>
    <n v="1.04"/>
    <x v="0"/>
    <n v="5"/>
    <n v="19"/>
    <n v="2.0708661417322851"/>
    <n v="0.25"/>
    <n v="1.1624015748031495"/>
    <n v="14.860800000000001"/>
    <n v="53.675007999999991"/>
    <n v="87.60279965004375"/>
    <n v="134.77353792314423"/>
    <n v="1.1624015748031495"/>
    <x v="0"/>
    <x v="0"/>
    <n v="148.7874015748031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8">
  <r>
    <m/>
    <m/>
    <s v=" "/>
    <x v="0"/>
    <m/>
    <s v=" "/>
    <m/>
    <s v=" "/>
    <m/>
    <x v="0"/>
    <s v=" "/>
    <m/>
    <x v="0"/>
    <m/>
  </r>
  <r>
    <m/>
    <m/>
    <s v=" "/>
    <x v="0"/>
    <m/>
    <s v=" "/>
    <m/>
    <s v=" "/>
    <m/>
    <x v="0"/>
    <s v=" "/>
    <m/>
    <x v="0"/>
    <m/>
  </r>
  <r>
    <m/>
    <m/>
    <s v=" "/>
    <x v="0"/>
    <m/>
    <s v=" "/>
    <m/>
    <s v=" "/>
    <m/>
    <x v="0"/>
    <s v=" "/>
    <m/>
    <x v="0"/>
    <m/>
  </r>
  <r>
    <m/>
    <m/>
    <s v=" "/>
    <x v="0"/>
    <m/>
    <s v=" "/>
    <m/>
    <s v=" "/>
    <m/>
    <x v="0"/>
    <s v=" "/>
    <m/>
    <x v="0"/>
    <m/>
  </r>
  <r>
    <m/>
    <m/>
    <s v=" "/>
    <x v="0"/>
    <m/>
    <s v=" "/>
    <m/>
    <s v=" "/>
    <m/>
    <x v="0"/>
    <s v=" "/>
    <m/>
    <x v="0"/>
    <m/>
  </r>
  <r>
    <m/>
    <m/>
    <s v=" "/>
    <x v="0"/>
    <m/>
    <s v=" "/>
    <m/>
    <s v=" "/>
    <m/>
    <x v="0"/>
    <s v=" "/>
    <m/>
    <x v="0"/>
    <m/>
  </r>
  <r>
    <m/>
    <m/>
    <s v=" "/>
    <x v="0"/>
    <m/>
    <s v=" "/>
    <m/>
    <s v=" "/>
    <m/>
    <x v="0"/>
    <s v=" "/>
    <m/>
    <x v="0"/>
    <m/>
  </r>
  <r>
    <m/>
    <m/>
    <s v=" "/>
    <x v="0"/>
    <m/>
    <s v=" "/>
    <m/>
    <s v=" "/>
    <m/>
    <x v="0"/>
    <s v=" "/>
    <m/>
    <x v="0"/>
    <m/>
  </r>
  <r>
    <m/>
    <m/>
    <s v=" "/>
    <x v="0"/>
    <m/>
    <s v=" "/>
    <m/>
    <s v=" "/>
    <m/>
    <x v="0"/>
    <s v=" "/>
    <m/>
    <x v="0"/>
    <m/>
  </r>
  <r>
    <m/>
    <m/>
    <s v=" "/>
    <x v="0"/>
    <m/>
    <s v=" "/>
    <m/>
    <s v=" "/>
    <m/>
    <x v="0"/>
    <s v=" "/>
    <m/>
    <x v="0"/>
    <m/>
  </r>
  <r>
    <m/>
    <m/>
    <s v=" "/>
    <x v="0"/>
    <m/>
    <s v=" "/>
    <m/>
    <s v=" "/>
    <m/>
    <x v="0"/>
    <s v=" "/>
    <m/>
    <x v="0"/>
    <m/>
  </r>
  <r>
    <m/>
    <m/>
    <s v=" "/>
    <x v="0"/>
    <m/>
    <s v=" "/>
    <m/>
    <s v=" "/>
    <m/>
    <x v="0"/>
    <s v=" "/>
    <m/>
    <x v="0"/>
    <m/>
  </r>
  <r>
    <m/>
    <m/>
    <s v=" "/>
    <x v="0"/>
    <m/>
    <s v=" "/>
    <m/>
    <s v=" "/>
    <m/>
    <x v="0"/>
    <s v=" "/>
    <m/>
    <x v="0"/>
    <m/>
  </r>
  <r>
    <m/>
    <m/>
    <s v=" "/>
    <x v="0"/>
    <m/>
    <s v=" "/>
    <m/>
    <s v=" "/>
    <m/>
    <x v="0"/>
    <s v=" "/>
    <m/>
    <x v="0"/>
    <m/>
  </r>
  <r>
    <m/>
    <m/>
    <s v=" "/>
    <x v="0"/>
    <m/>
    <s v=" "/>
    <m/>
    <s v=" "/>
    <m/>
    <x v="0"/>
    <s v=" "/>
    <m/>
    <x v="0"/>
    <m/>
  </r>
  <r>
    <m/>
    <m/>
    <s v=" "/>
    <x v="0"/>
    <m/>
    <s v=" "/>
    <m/>
    <s v=" "/>
    <m/>
    <x v="0"/>
    <s v=" "/>
    <m/>
    <x v="0"/>
    <m/>
  </r>
  <r>
    <m/>
    <m/>
    <s v=" "/>
    <x v="0"/>
    <m/>
    <s v=" "/>
    <m/>
    <s v=" "/>
    <m/>
    <x v="0"/>
    <s v=" "/>
    <m/>
    <x v="0"/>
    <m/>
  </r>
  <r>
    <m/>
    <m/>
    <s v=" "/>
    <x v="0"/>
    <m/>
    <s v=" "/>
    <m/>
    <s v=" "/>
    <m/>
    <x v="0"/>
    <s v=" "/>
    <m/>
    <x v="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a dinámica2" cacheId="1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compact="0" compactData="0" multipleFieldFilters="0">
  <location ref="M41:P42" firstHeaderRow="1" firstDataRow="1" firstDataCol="3"/>
  <pivotFields count="14">
    <pivotField compact="0" outline="0" showAll="0" defaultSubtotal="0"/>
    <pivotField compact="0" outline="0" showAll="0" defaultSubtotal="0"/>
    <pivotField compact="0" outline="0" showAll="0" defaultSubtotal="0"/>
    <pivotField name="Grosor Bruto plg" axis="axisRow" compact="0" outline="0" showAll="0" defaultSubtotal="0">
      <items count="1"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name="Largo Bruto Pies" axis="axisRow" compact="0" outline="0" showAll="0" defaultSubtotal="0">
      <items count="1">
        <item x="0"/>
      </items>
    </pivotField>
    <pivotField dataField="1" compact="0" outline="0" showAll="0" defaultSubtotal="0"/>
    <pivotField compact="0" outline="0" showAll="0" defaultSubtotal="0"/>
    <pivotField axis="axisRow" compact="0" outline="0" showAll="0" measureFilter="1" defaultSubtotal="0">
      <items count="1">
        <item x="0"/>
      </items>
    </pivotField>
    <pivotField compact="0" outline="0" showAll="0" defaultSubtotal="0"/>
  </pivotFields>
  <rowFields count="3">
    <field x="12"/>
    <field x="3"/>
    <field x="9"/>
  </rowFields>
  <rowItems count="1">
    <i t="grand">
      <x/>
    </i>
  </rowItems>
  <colItems count="1">
    <i/>
  </colItems>
  <dataFields count="1">
    <dataField name=" PT Bruto" fld="10" baseField="9" baseItem="0" numFmtId="1"/>
  </dataFields>
  <formats count="4">
    <format dxfId="10">
      <pivotArea field="3" type="button" dataOnly="0" labelOnly="1" outline="0" axis="axisRow" fieldPosition="1"/>
    </format>
    <format dxfId="9">
      <pivotArea field="9" type="button" dataOnly="0" labelOnly="1" outline="0" axis="axisRow" fieldPosition="2"/>
    </format>
    <format dxfId="8">
      <pivotArea dataOnly="0" labelOnly="1" outline="0" axis="axisValues" fieldPosition="0"/>
    </format>
    <format dxfId="7">
      <pivotArea dataOnly="0" labelOnly="1" outline="0" axis="axisValues" fieldPosition="0"/>
    </format>
  </formats>
  <pivotTableStyleInfo name="Estilo de tabla dinámica 2" showRowHeaders="1" showColHeaders="1" showRowStripes="0" showColStripes="0" showLastColumn="1"/>
  <filters count="1">
    <filter fld="12" type="valueGreaterThan" evalOrder="-1" id="3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Tabla dinámica1" cacheId="0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compact="0" compactData="0" gridDropZones="1" multipleFieldFilters="0">
  <location ref="A8:H12" firstHeaderRow="1" firstDataRow="2" firstDataCol="6"/>
  <pivotFields count="34"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 defaultSubtotal="0">
      <items count="1">
        <item x="0"/>
      </items>
    </pivotField>
    <pivotField compact="0" outline="0" showAll="0"/>
    <pivotField axis="axisRow" compact="0" outline="0" showAll="0" defaultSubtotal="0">
      <items count="1">
        <item x="0"/>
      </items>
    </pivotField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axis="axisRow" compact="0" outline="0" showAll="0">
      <items count="2">
        <item x="0"/>
        <item t="default"/>
      </items>
    </pivotField>
    <pivotField axis="axisRow" compact="0" outline="0" showAll="0" defaultSubtotal="0">
      <items count="1">
        <item x="0"/>
      </items>
    </pivotField>
    <pivotField compact="0" outline="0" showAll="0"/>
    <pivotField compact="0" numFmtId="2" outline="0" showAll="0"/>
    <pivotField compact="0" numFmtId="2" outline="0" showAll="0"/>
    <pivotField compact="0" numFmtId="2" outline="0" showAll="0"/>
    <pivotField compact="0" numFmtId="2" outline="0" showAll="0"/>
    <pivotField compact="0" numFmtId="165" outline="0" showAll="0"/>
    <pivotField axis="axisRow" compact="0" numFmtId="2" outline="0" showAll="0" defaultSubtotal="0">
      <items count="1">
        <item x="0"/>
      </items>
    </pivotField>
    <pivotField compact="0" numFmtId="166" outline="0" showAll="0"/>
    <pivotField compact="0" numFmtId="1" outline="0" showAll="0"/>
    <pivotField compact="0" numFmtId="2" outline="0" showAll="0"/>
    <pivotField compact="0" outline="0" showAll="0"/>
    <pivotField compact="0" numFmtId="165" outline="0" showAll="0"/>
    <pivotField compact="0" numFmtId="2" outline="0" showAll="0"/>
    <pivotField compact="0" numFmtId="2" outline="0" showAll="0"/>
    <pivotField compact="0" numFmtId="2" outline="0" showAll="0"/>
    <pivotField compact="0" numFmtId="2" outline="0" showAll="0"/>
    <pivotField compact="0" numFmtId="165" outline="0" showAll="0"/>
    <pivotField axis="axisRow" compact="0" numFmtId="166" outline="0" showAll="0" defaultSubtotal="0">
      <items count="1">
        <item x="0"/>
      </items>
    </pivotField>
    <pivotField axis="axisCol" compact="0" numFmtId="1" outline="0" showAll="0">
      <items count="2">
        <item x="0"/>
        <item t="default"/>
      </items>
    </pivotField>
    <pivotField dataField="1" compact="0" numFmtId="2" outline="0" showAll="0"/>
  </pivotFields>
  <rowFields count="6">
    <field x="12"/>
    <field x="13"/>
    <field x="4"/>
    <field x="6"/>
    <field x="20"/>
    <field x="31"/>
  </rowFields>
  <rowItems count="3">
    <i>
      <x/>
      <x/>
      <x/>
      <x/>
      <x/>
      <x/>
    </i>
    <i t="default">
      <x/>
    </i>
    <i t="grand">
      <x/>
    </i>
  </rowItems>
  <colFields count="1">
    <field x="32"/>
  </colFields>
  <colItems count="2">
    <i>
      <x/>
    </i>
    <i t="grand">
      <x/>
    </i>
  </colItems>
  <dataFields count="1">
    <dataField name="Suma de PT bruto" fld="33" baseField="0" baseItem="0"/>
  </dataFields>
  <formats count="7">
    <format dxfId="6">
      <pivotArea grandCol="1" outline="0" collapsedLevelsAreSubtotals="1" fieldPosition="0"/>
    </format>
    <format dxfId="5">
      <pivotArea grandCol="1" outline="0" collapsedLevelsAreSubtotals="1" fieldPosition="0"/>
    </format>
    <format dxfId="4">
      <pivotArea field="32" grandRow="1" outline="0" collapsedLevelsAreSubtotals="1" axis="axisCol" fieldPosition="0">
        <references count="1">
          <reference field="32" count="1" selected="0">
            <x v="0"/>
          </reference>
        </references>
      </pivotArea>
    </format>
    <format dxfId="3">
      <pivotArea field="32" grandRow="1" outline="0" collapsedLevelsAreSubtotals="1" axis="axisCol" fieldPosition="0">
        <references count="1">
          <reference field="32" count="1" selected="0">
            <x v="0"/>
          </reference>
        </references>
      </pivotArea>
    </format>
    <format dxfId="2">
      <pivotArea dataOnly="0" labelOnly="1" outline="0" fieldPosition="0">
        <references count="1">
          <reference field="32" count="0"/>
        </references>
      </pivotArea>
    </format>
    <format dxfId="1">
      <pivotArea outline="0" collapsedLevelsAreSubtotals="1" fieldPosition="0">
        <references count="1">
          <reference field="32" count="1" selected="0">
            <x v="0"/>
          </reference>
        </references>
      </pivotArea>
    </format>
    <format dxfId="0">
      <pivotArea grandCol="1"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pageSetUpPr fitToPage="1"/>
  </sheetPr>
  <dimension ref="B1:N114"/>
  <sheetViews>
    <sheetView showGridLines="0" view="pageBreakPreview" topLeftCell="A19" zoomScale="86" zoomScaleNormal="100" zoomScaleSheetLayoutView="86" workbookViewId="0">
      <selection activeCell="F31" sqref="F31"/>
    </sheetView>
  </sheetViews>
  <sheetFormatPr baseColWidth="10" defaultRowHeight="15"/>
  <cols>
    <col min="1" max="1" width="3.7109375" customWidth="1"/>
    <col min="2" max="2" width="47.5703125" customWidth="1"/>
    <col min="3" max="3" width="21.140625" customWidth="1"/>
    <col min="4" max="4" width="18.28515625" customWidth="1"/>
    <col min="5" max="5" width="14.140625" customWidth="1"/>
    <col min="6" max="6" width="1.28515625" customWidth="1"/>
    <col min="7" max="7" width="18.85546875" customWidth="1"/>
    <col min="8" max="8" width="11.5703125" customWidth="1"/>
    <col min="9" max="9" width="7.85546875" customWidth="1"/>
    <col min="10" max="10" width="14.140625" customWidth="1"/>
    <col min="11" max="11" width="24.42578125" bestFit="1" customWidth="1"/>
  </cols>
  <sheetData>
    <row r="1" spans="2:14" ht="22.5">
      <c r="B1" s="33" t="s">
        <v>28</v>
      </c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</row>
    <row r="2" spans="2:14" ht="27">
      <c r="B2" s="33" t="s">
        <v>120</v>
      </c>
      <c r="C2" s="36"/>
      <c r="D2" s="223">
        <f>+C7</f>
        <v>0</v>
      </c>
      <c r="E2" s="223"/>
      <c r="F2" s="223"/>
      <c r="G2" s="223"/>
      <c r="H2" s="36"/>
      <c r="I2" s="36"/>
      <c r="J2" s="46"/>
      <c r="L2" s="36"/>
      <c r="M2" s="36"/>
      <c r="N2" s="36"/>
    </row>
    <row r="3" spans="2:14" ht="6" customHeight="1"/>
    <row r="4" spans="2:14" ht="27">
      <c r="B4" s="224" t="s">
        <v>29</v>
      </c>
      <c r="C4" s="224"/>
      <c r="D4" s="224"/>
      <c r="E4" s="224"/>
      <c r="F4" s="224"/>
      <c r="G4" s="224"/>
      <c r="H4" s="224"/>
      <c r="I4" s="224"/>
      <c r="J4" s="224"/>
      <c r="K4" s="224"/>
    </row>
    <row r="5" spans="2:14" ht="9" customHeight="1" thickBot="1">
      <c r="B5" s="37"/>
      <c r="C5" s="37"/>
      <c r="D5" s="37"/>
      <c r="E5" s="37"/>
      <c r="F5" s="37"/>
      <c r="G5" s="37"/>
      <c r="H5" s="37"/>
      <c r="I5" s="37"/>
      <c r="J5" s="37"/>
      <c r="K5" s="37"/>
    </row>
    <row r="6" spans="2:14" ht="15.75" customHeight="1" thickBot="1">
      <c r="B6" s="15" t="s">
        <v>30</v>
      </c>
      <c r="C6" s="17" t="s">
        <v>6</v>
      </c>
      <c r="D6" s="17" t="s">
        <v>15</v>
      </c>
      <c r="F6" s="37"/>
      <c r="G6" s="166" t="s">
        <v>7</v>
      </c>
      <c r="H6" s="221" t="s">
        <v>138</v>
      </c>
      <c r="I6" s="222"/>
      <c r="J6" s="17" t="s">
        <v>7</v>
      </c>
      <c r="K6" s="67" t="s">
        <v>90</v>
      </c>
    </row>
    <row r="7" spans="2:14" ht="15.75" customHeight="1" thickBot="1">
      <c r="B7" s="47"/>
      <c r="C7" s="48"/>
      <c r="D7" s="49"/>
      <c r="F7" s="37"/>
      <c r="G7" s="167"/>
      <c r="H7" s="219"/>
      <c r="I7" s="220"/>
      <c r="J7" s="88"/>
      <c r="K7" s="97"/>
    </row>
    <row r="8" spans="2:14" ht="6" customHeight="1" thickBot="1"/>
    <row r="9" spans="2:14" ht="15.75" thickBot="1">
      <c r="B9" s="15" t="s">
        <v>33</v>
      </c>
      <c r="C9" s="17" t="s">
        <v>31</v>
      </c>
      <c r="D9" s="17" t="s">
        <v>114</v>
      </c>
      <c r="G9" s="169" t="s">
        <v>151</v>
      </c>
      <c r="H9" s="68"/>
      <c r="I9" s="68"/>
      <c r="J9" s="68"/>
      <c r="K9" s="68"/>
      <c r="L9" s="68"/>
    </row>
    <row r="10" spans="2:14" ht="15.75" thickBot="1">
      <c r="B10" s="8"/>
      <c r="C10" s="71"/>
      <c r="D10" s="38"/>
      <c r="G10" s="170"/>
      <c r="H10" s="68"/>
      <c r="I10" s="68"/>
      <c r="K10" s="68"/>
      <c r="L10" s="68"/>
    </row>
    <row r="11" spans="2:14">
      <c r="B11" s="7"/>
      <c r="C11" s="68"/>
      <c r="D11" s="68"/>
      <c r="H11" s="68"/>
      <c r="I11" s="68"/>
      <c r="J11" t="s">
        <v>147</v>
      </c>
      <c r="K11" s="64"/>
    </row>
    <row r="12" spans="2:14" ht="15" customHeight="1" thickBot="1">
      <c r="F12" t="s">
        <v>34</v>
      </c>
      <c r="J12" t="s">
        <v>91</v>
      </c>
      <c r="K12" s="64"/>
    </row>
    <row r="13" spans="2:14" ht="15.75" customHeight="1">
      <c r="B13" s="60" t="s">
        <v>88</v>
      </c>
      <c r="C13" s="50"/>
      <c r="D13" s="50"/>
      <c r="E13" s="50"/>
      <c r="F13" s="39"/>
      <c r="G13" s="39"/>
      <c r="H13" s="40"/>
      <c r="J13" s="66"/>
    </row>
    <row r="14" spans="2:14" ht="15.75" customHeight="1">
      <c r="B14" s="62"/>
      <c r="C14" s="51"/>
      <c r="D14" s="51"/>
      <c r="E14" s="51"/>
      <c r="G14" s="65"/>
      <c r="H14" s="42"/>
      <c r="J14" s="66"/>
    </row>
    <row r="15" spans="2:14" ht="15.75" customHeight="1">
      <c r="B15" s="62"/>
      <c r="C15" s="51"/>
      <c r="D15" s="51"/>
      <c r="E15" s="51"/>
      <c r="H15" s="42"/>
      <c r="J15" s="66" t="s">
        <v>104</v>
      </c>
    </row>
    <row r="16" spans="2:14" ht="15.75" customHeight="1">
      <c r="B16" s="62"/>
      <c r="C16" s="51"/>
      <c r="D16" s="51"/>
      <c r="E16" s="51"/>
      <c r="G16" s="65"/>
      <c r="H16" s="42"/>
      <c r="J16" s="66"/>
    </row>
    <row r="17" spans="2:13" ht="15.75" customHeight="1">
      <c r="B17" s="62"/>
      <c r="C17" s="51"/>
      <c r="D17" s="51"/>
      <c r="E17" s="51"/>
      <c r="G17" s="65"/>
      <c r="H17" s="42"/>
      <c r="J17" s="168"/>
    </row>
    <row r="18" spans="2:13" ht="15.75" customHeight="1">
      <c r="B18" s="62"/>
      <c r="C18" s="51"/>
      <c r="D18" s="51"/>
      <c r="E18" s="51"/>
      <c r="G18" s="65"/>
      <c r="H18" s="42"/>
      <c r="J18" s="168" t="s">
        <v>157</v>
      </c>
      <c r="M18" s="168"/>
    </row>
    <row r="19" spans="2:13" ht="15.75" customHeight="1">
      <c r="B19" s="62"/>
      <c r="C19" s="51"/>
      <c r="D19" s="51"/>
      <c r="E19" s="51"/>
      <c r="G19" s="65"/>
      <c r="H19" s="42"/>
      <c r="J19" t="s">
        <v>91</v>
      </c>
      <c r="M19" s="168"/>
    </row>
    <row r="20" spans="2:13" ht="15.75" customHeight="1">
      <c r="B20" s="62"/>
      <c r="C20" s="51"/>
      <c r="D20" s="51"/>
      <c r="E20" s="51"/>
      <c r="G20" s="65"/>
      <c r="H20" s="42"/>
      <c r="M20" s="168"/>
    </row>
    <row r="21" spans="2:13" ht="15.75" customHeight="1">
      <c r="B21" s="62"/>
      <c r="C21" s="51"/>
      <c r="D21" s="51"/>
      <c r="E21" s="51"/>
      <c r="G21" s="65"/>
      <c r="H21" s="42"/>
    </row>
    <row r="22" spans="2:13" ht="15.75" customHeight="1">
      <c r="B22" s="62"/>
      <c r="C22" s="51"/>
      <c r="D22" s="51"/>
      <c r="E22" s="51"/>
      <c r="G22" s="65"/>
      <c r="H22" s="42"/>
    </row>
    <row r="23" spans="2:13" ht="15.75" customHeight="1">
      <c r="B23" s="62"/>
      <c r="C23" s="51"/>
      <c r="D23" s="51"/>
      <c r="E23" s="51"/>
      <c r="G23" s="65"/>
      <c r="H23" s="42"/>
      <c r="J23" t="s">
        <v>150</v>
      </c>
    </row>
    <row r="24" spans="2:13" ht="15.75" customHeight="1">
      <c r="B24" s="62"/>
      <c r="C24" s="51"/>
      <c r="D24" s="51"/>
      <c r="E24" s="51"/>
      <c r="G24" s="65"/>
      <c r="H24" s="42"/>
      <c r="J24" t="s">
        <v>91</v>
      </c>
    </row>
    <row r="25" spans="2:13" ht="15.75" customHeight="1">
      <c r="B25" s="62"/>
      <c r="C25" s="51"/>
      <c r="D25" s="51"/>
      <c r="E25" s="51"/>
      <c r="G25" s="65"/>
      <c r="H25" s="42"/>
    </row>
    <row r="26" spans="2:13" ht="15.75" customHeight="1">
      <c r="B26" s="62"/>
      <c r="C26" s="51"/>
      <c r="D26" s="51"/>
      <c r="E26" s="51"/>
      <c r="G26" s="65"/>
      <c r="H26" s="42"/>
    </row>
    <row r="27" spans="2:13" ht="15.75" customHeight="1">
      <c r="B27" s="62"/>
      <c r="C27" s="51"/>
      <c r="D27" s="51"/>
      <c r="E27" s="51"/>
      <c r="G27" s="65"/>
      <c r="H27" s="42"/>
      <c r="J27" s="168"/>
      <c r="M27" s="168"/>
    </row>
    <row r="28" spans="2:13" ht="15.75" customHeight="1">
      <c r="B28" s="62"/>
      <c r="C28" s="51"/>
      <c r="D28" s="51"/>
      <c r="E28" s="51"/>
      <c r="G28" s="65"/>
      <c r="H28" s="42"/>
      <c r="J28" s="168" t="s">
        <v>94</v>
      </c>
    </row>
    <row r="29" spans="2:13" ht="15.75" customHeight="1">
      <c r="B29" s="62"/>
      <c r="C29" s="51"/>
      <c r="D29" s="51"/>
      <c r="E29" s="51"/>
      <c r="G29" s="65"/>
      <c r="H29" s="42"/>
      <c r="J29" t="s">
        <v>91</v>
      </c>
      <c r="M29" s="168"/>
    </row>
    <row r="30" spans="2:13" ht="15.75" customHeight="1">
      <c r="B30" s="62"/>
      <c r="C30" s="51"/>
      <c r="D30" s="51"/>
      <c r="E30" s="51"/>
      <c r="G30" s="65"/>
      <c r="H30" s="42"/>
    </row>
    <row r="31" spans="2:13" ht="15.75" customHeight="1">
      <c r="B31" s="62"/>
      <c r="G31" s="65"/>
      <c r="H31" s="42"/>
    </row>
    <row r="32" spans="2:13" ht="15.75" customHeight="1">
      <c r="B32" s="61"/>
      <c r="G32" s="65"/>
      <c r="H32" s="42"/>
      <c r="J32" s="168"/>
      <c r="M32" s="168"/>
    </row>
    <row r="33" spans="2:13" ht="15.75" customHeight="1">
      <c r="B33" s="61"/>
      <c r="G33" s="65"/>
      <c r="H33" s="42"/>
      <c r="J33" s="168" t="s">
        <v>95</v>
      </c>
    </row>
    <row r="34" spans="2:13" ht="15.75" customHeight="1">
      <c r="B34" s="61"/>
      <c r="G34" s="65"/>
      <c r="H34" s="42"/>
      <c r="J34" t="s">
        <v>91</v>
      </c>
    </row>
    <row r="35" spans="2:13" ht="15.75" customHeight="1">
      <c r="B35" s="61"/>
      <c r="G35" s="65"/>
      <c r="H35" s="42"/>
    </row>
    <row r="36" spans="2:13" ht="15.75" customHeight="1">
      <c r="B36" s="41"/>
      <c r="H36" s="42"/>
      <c r="J36" s="168"/>
      <c r="M36" s="168"/>
    </row>
    <row r="37" spans="2:13" ht="15.75" customHeight="1">
      <c r="B37" s="41"/>
      <c r="H37" s="42"/>
    </row>
    <row r="38" spans="2:13" ht="15.75" customHeight="1">
      <c r="B38" s="41"/>
      <c r="H38" s="42"/>
      <c r="J38" s="168" t="s">
        <v>112</v>
      </c>
    </row>
    <row r="39" spans="2:13" ht="15.75" customHeight="1">
      <c r="B39" s="41"/>
      <c r="H39" s="42"/>
      <c r="J39" t="s">
        <v>91</v>
      </c>
    </row>
    <row r="40" spans="2:13" ht="15.75" customHeight="1">
      <c r="B40" s="41"/>
      <c r="H40" s="42"/>
      <c r="J40" s="168"/>
    </row>
    <row r="41" spans="2:13" ht="15.75" customHeight="1">
      <c r="B41" s="41"/>
      <c r="H41" s="42"/>
    </row>
    <row r="42" spans="2:13" ht="15.75" customHeight="1">
      <c r="B42" s="41"/>
      <c r="H42" s="42"/>
    </row>
    <row r="43" spans="2:13" ht="15.75" customHeight="1">
      <c r="B43" s="41"/>
      <c r="H43" s="42"/>
      <c r="J43" s="168" t="s">
        <v>158</v>
      </c>
    </row>
    <row r="44" spans="2:13" ht="15.75" customHeight="1" thickBot="1">
      <c r="B44" s="43"/>
      <c r="C44" s="44"/>
      <c r="D44" s="44"/>
      <c r="E44" s="44"/>
      <c r="F44" s="44"/>
      <c r="G44" s="44"/>
      <c r="H44" s="45"/>
      <c r="J44" t="s">
        <v>91</v>
      </c>
    </row>
    <row r="45" spans="2:13" ht="15.75" customHeight="1"/>
    <row r="48" spans="2:13">
      <c r="B48" t="s">
        <v>90</v>
      </c>
      <c r="C48" t="s">
        <v>139</v>
      </c>
    </row>
    <row r="49" spans="2:3">
      <c r="C49" t="s">
        <v>141</v>
      </c>
    </row>
    <row r="50" spans="2:3">
      <c r="B50" t="s">
        <v>96</v>
      </c>
      <c r="C50" t="s">
        <v>145</v>
      </c>
    </row>
    <row r="51" spans="2:3">
      <c r="B51" t="s">
        <v>97</v>
      </c>
      <c r="C51" t="s">
        <v>149</v>
      </c>
    </row>
    <row r="52" spans="2:3">
      <c r="B52" t="s">
        <v>152</v>
      </c>
      <c r="C52" t="s">
        <v>146</v>
      </c>
    </row>
    <row r="53" spans="2:3">
      <c r="B53" t="s">
        <v>92</v>
      </c>
      <c r="C53" t="s">
        <v>142</v>
      </c>
    </row>
    <row r="54" spans="2:3">
      <c r="B54" t="s">
        <v>140</v>
      </c>
      <c r="C54" t="s">
        <v>143</v>
      </c>
    </row>
    <row r="55" spans="2:3">
      <c r="B55" t="s">
        <v>98</v>
      </c>
      <c r="C55" t="s">
        <v>148</v>
      </c>
    </row>
    <row r="56" spans="2:3">
      <c r="B56" t="s">
        <v>99</v>
      </c>
      <c r="C56" t="s">
        <v>144</v>
      </c>
    </row>
    <row r="102" spans="2:2">
      <c r="B102" t="s">
        <v>32</v>
      </c>
    </row>
    <row r="103" spans="2:2">
      <c r="B103" t="s">
        <v>70</v>
      </c>
    </row>
    <row r="104" spans="2:2">
      <c r="B104" t="s">
        <v>61</v>
      </c>
    </row>
    <row r="105" spans="2:2">
      <c r="B105" t="s">
        <v>62</v>
      </c>
    </row>
    <row r="106" spans="2:2">
      <c r="B106" t="s">
        <v>64</v>
      </c>
    </row>
    <row r="107" spans="2:2">
      <c r="B107" t="s">
        <v>65</v>
      </c>
    </row>
    <row r="108" spans="2:2">
      <c r="B108" t="s">
        <v>71</v>
      </c>
    </row>
    <row r="109" spans="2:2">
      <c r="B109" t="s">
        <v>66</v>
      </c>
    </row>
    <row r="110" spans="2:2">
      <c r="B110" t="s">
        <v>68</v>
      </c>
    </row>
    <row r="111" spans="2:2">
      <c r="B111" t="s">
        <v>67</v>
      </c>
    </row>
    <row r="112" spans="2:2">
      <c r="B112" t="s">
        <v>63</v>
      </c>
    </row>
    <row r="113" spans="2:2">
      <c r="B113" t="s">
        <v>69</v>
      </c>
    </row>
    <row r="114" spans="2:2">
      <c r="B114" t="s">
        <v>89</v>
      </c>
    </row>
  </sheetData>
  <sortState ref="B71:B89">
    <sortCondition ref="B71"/>
  </sortState>
  <mergeCells count="4">
    <mergeCell ref="H7:I7"/>
    <mergeCell ref="H6:I6"/>
    <mergeCell ref="D2:G2"/>
    <mergeCell ref="B4:K4"/>
  </mergeCells>
  <dataValidations disablePrompts="1" count="2">
    <dataValidation type="list" allowBlank="1" showInputMessage="1" showErrorMessage="1" sqref="H7:I7">
      <formula1>$C$49:$C$57</formula1>
    </dataValidation>
    <dataValidation type="list" allowBlank="1" showInputMessage="1" showErrorMessage="1" sqref="K7">
      <formula1>$B$49:$B$57</formula1>
    </dataValidation>
  </dataValidations>
  <pageMargins left="0.7" right="0.7" top="0.75" bottom="0.75" header="0.3" footer="0.3"/>
  <pageSetup scale="66" orientation="landscape" horizontalDpi="4294967295" verticalDpi="4294967295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AH66"/>
  <sheetViews>
    <sheetView showGridLines="0" tabSelected="1" view="pageBreakPreview" zoomScale="70" zoomScaleNormal="70" zoomScaleSheetLayoutView="70" workbookViewId="0">
      <selection activeCell="G17" sqref="G17"/>
    </sheetView>
  </sheetViews>
  <sheetFormatPr baseColWidth="10" defaultRowHeight="15" outlineLevelCol="1"/>
  <cols>
    <col min="1" max="1" width="31.42578125" customWidth="1"/>
    <col min="2" max="2" width="16.42578125" customWidth="1"/>
    <col min="3" max="3" width="21.7109375" customWidth="1"/>
    <col min="4" max="4" width="12.5703125" customWidth="1"/>
    <col min="5" max="5" width="10.140625" style="22" customWidth="1"/>
    <col min="6" max="12" width="12.28515625" style="22" customWidth="1"/>
    <col min="13" max="13" width="14" style="22" customWidth="1"/>
    <col min="14" max="14" width="15.28515625" customWidth="1"/>
    <col min="15" max="15" width="24" customWidth="1"/>
    <col min="16" max="16" width="12.140625" customWidth="1"/>
    <col min="17" max="17" width="12.5703125" customWidth="1" outlineLevel="1"/>
    <col min="18" max="18" width="14.7109375" customWidth="1" outlineLevel="1"/>
    <col min="19" max="19" width="12.140625" customWidth="1" outlineLevel="1"/>
    <col min="33" max="33" width="14.85546875" customWidth="1"/>
  </cols>
  <sheetData>
    <row r="1" spans="1:34" ht="23.25" customHeight="1">
      <c r="A1" s="244" t="s">
        <v>21</v>
      </c>
      <c r="B1" s="244"/>
      <c r="C1" s="244"/>
      <c r="D1" s="244"/>
      <c r="E1" s="244"/>
      <c r="F1" s="244"/>
      <c r="G1" s="244"/>
      <c r="H1" s="244"/>
      <c r="I1" s="244"/>
      <c r="J1" s="244"/>
      <c r="K1" s="244"/>
      <c r="L1" s="244"/>
      <c r="M1" s="244"/>
      <c r="N1" s="243" t="str">
        <f>CONCATENATE("OT ",caratula!C7)</f>
        <v xml:space="preserve">OT </v>
      </c>
      <c r="O1" s="243"/>
      <c r="P1" s="243"/>
      <c r="Q1" s="113"/>
      <c r="R1" s="113"/>
      <c r="AD1" t="s">
        <v>76</v>
      </c>
      <c r="AF1" t="s">
        <v>117</v>
      </c>
      <c r="AG1" s="140" t="s">
        <v>41</v>
      </c>
      <c r="AH1" t="s">
        <v>52</v>
      </c>
    </row>
    <row r="2" spans="1:34" ht="19.5" customHeight="1">
      <c r="A2" s="245" t="s">
        <v>120</v>
      </c>
      <c r="B2" s="245"/>
      <c r="C2" s="245"/>
      <c r="D2" s="245"/>
      <c r="E2" s="245"/>
      <c r="F2" s="245"/>
      <c r="G2" s="245"/>
      <c r="H2" s="245"/>
      <c r="I2" s="245"/>
      <c r="J2" s="245"/>
      <c r="K2" s="245"/>
      <c r="L2" s="245"/>
      <c r="M2" s="245"/>
      <c r="N2" s="243"/>
      <c r="O2" s="243"/>
      <c r="P2" s="243"/>
      <c r="Q2" s="113"/>
      <c r="R2" s="113"/>
      <c r="AD2" t="s">
        <v>77</v>
      </c>
      <c r="AF2" t="s">
        <v>118</v>
      </c>
      <c r="AG2" s="140" t="s">
        <v>115</v>
      </c>
      <c r="AH2" t="s">
        <v>84</v>
      </c>
    </row>
    <row r="3" spans="1:34" ht="20.25" customHeight="1">
      <c r="A3" s="245" t="s">
        <v>136</v>
      </c>
      <c r="B3" s="245"/>
      <c r="C3" s="245"/>
      <c r="D3" s="245"/>
      <c r="E3" s="245"/>
      <c r="F3" s="245"/>
      <c r="G3" s="245"/>
      <c r="H3" s="245"/>
      <c r="I3" s="245"/>
      <c r="J3" s="245"/>
      <c r="K3" s="245"/>
      <c r="L3" s="245"/>
      <c r="M3" s="245"/>
      <c r="N3" s="243"/>
      <c r="O3" s="243"/>
      <c r="P3" s="243"/>
      <c r="Q3" s="113"/>
      <c r="R3" s="113"/>
      <c r="AD3" t="s">
        <v>78</v>
      </c>
      <c r="AF3" t="s">
        <v>128</v>
      </c>
      <c r="AG3" s="140" t="s">
        <v>40</v>
      </c>
      <c r="AH3" t="s">
        <v>53</v>
      </c>
    </row>
    <row r="4" spans="1:34" ht="16.5" thickBot="1">
      <c r="D4" s="3"/>
      <c r="E4" s="2"/>
      <c r="F4" s="2"/>
      <c r="G4" s="2"/>
      <c r="H4" s="2"/>
      <c r="I4" s="2"/>
      <c r="J4" s="2"/>
      <c r="K4" s="2"/>
      <c r="L4" s="2"/>
      <c r="M4" s="2"/>
      <c r="N4" s="21"/>
      <c r="O4" s="21"/>
      <c r="P4" s="2"/>
      <c r="AD4" t="s">
        <v>80</v>
      </c>
      <c r="AG4" s="140" t="s">
        <v>43</v>
      </c>
      <c r="AH4" t="s">
        <v>85</v>
      </c>
    </row>
    <row r="5" spans="1:34" ht="16.5" thickBot="1">
      <c r="A5" s="249" t="s">
        <v>30</v>
      </c>
      <c r="B5" s="250"/>
      <c r="C5" s="249" t="s">
        <v>155</v>
      </c>
      <c r="D5" s="253"/>
      <c r="E5" s="253"/>
      <c r="F5" s="250"/>
      <c r="G5" s="138" t="s">
        <v>121</v>
      </c>
      <c r="M5" s="2"/>
      <c r="N5" s="246" t="s">
        <v>122</v>
      </c>
      <c r="O5" s="247"/>
      <c r="P5" s="248"/>
      <c r="AD5" t="s">
        <v>82</v>
      </c>
      <c r="AG5" s="140" t="s">
        <v>44</v>
      </c>
      <c r="AH5" t="s">
        <v>86</v>
      </c>
    </row>
    <row r="6" spans="1:34" ht="16.5" thickBot="1">
      <c r="A6" s="251">
        <f>caratula!B7</f>
        <v>0</v>
      </c>
      <c r="B6" s="252"/>
      <c r="C6" s="254">
        <f>caratula!B10</f>
        <v>0</v>
      </c>
      <c r="D6" s="255"/>
      <c r="E6" s="255"/>
      <c r="F6" s="256"/>
      <c r="G6" s="139">
        <f>caratula!C10</f>
        <v>0</v>
      </c>
      <c r="M6" s="2"/>
      <c r="N6" s="240">
        <f>caratula!J7</f>
        <v>0</v>
      </c>
      <c r="O6" s="241"/>
      <c r="P6" s="242"/>
      <c r="AG6" s="140" t="s">
        <v>83</v>
      </c>
      <c r="AH6" t="s">
        <v>87</v>
      </c>
    </row>
    <row r="7" spans="1:34" ht="15.75">
      <c r="A7" s="102"/>
      <c r="B7" s="102"/>
      <c r="C7" s="102"/>
      <c r="D7" s="103"/>
      <c r="E7" s="104"/>
      <c r="F7" s="90"/>
      <c r="G7" s="90"/>
      <c r="M7" s="6"/>
      <c r="N7" s="23"/>
      <c r="O7" s="23"/>
      <c r="P7" s="5"/>
      <c r="AG7" s="140" t="s">
        <v>48</v>
      </c>
    </row>
    <row r="8" spans="1:34" ht="16.5" thickBot="1">
      <c r="A8" s="91"/>
      <c r="B8" s="91"/>
      <c r="C8" s="91"/>
      <c r="D8" s="92"/>
      <c r="E8" s="107"/>
      <c r="F8" s="107"/>
      <c r="G8" s="107"/>
      <c r="H8" s="92"/>
      <c r="I8" s="92"/>
      <c r="J8" s="92"/>
      <c r="K8" s="92"/>
      <c r="L8" s="92"/>
      <c r="M8" s="92"/>
      <c r="N8" s="108"/>
      <c r="O8" s="108"/>
      <c r="P8" s="107"/>
      <c r="AG8" s="140" t="s">
        <v>49</v>
      </c>
    </row>
    <row r="9" spans="1:34" ht="18" customHeight="1" thickBot="1">
      <c r="A9" s="228" t="s">
        <v>119</v>
      </c>
      <c r="B9" s="229"/>
      <c r="C9" s="230"/>
      <c r="D9" s="225" t="s">
        <v>125</v>
      </c>
      <c r="E9" s="227"/>
      <c r="F9" s="227"/>
      <c r="G9" s="227"/>
      <c r="H9" s="227"/>
      <c r="I9" s="227"/>
      <c r="J9" s="226"/>
      <c r="K9" s="109">
        <f>SUM(K12:K26)</f>
        <v>0</v>
      </c>
      <c r="L9" s="95"/>
      <c r="M9" s="95"/>
      <c r="N9" s="95"/>
      <c r="AG9" s="140" t="s">
        <v>51</v>
      </c>
    </row>
    <row r="10" spans="1:34" ht="18" customHeight="1" thickBot="1">
      <c r="A10" s="231"/>
      <c r="B10" s="232"/>
      <c r="C10" s="233"/>
      <c r="D10" s="225" t="s">
        <v>132</v>
      </c>
      <c r="E10" s="226"/>
      <c r="F10" s="225" t="s">
        <v>131</v>
      </c>
      <c r="G10" s="226"/>
      <c r="H10" s="225" t="s">
        <v>130</v>
      </c>
      <c r="I10" s="227"/>
      <c r="J10" s="226"/>
      <c r="K10" s="171"/>
      <c r="L10" s="95"/>
      <c r="M10" s="95"/>
      <c r="N10" s="95"/>
      <c r="AG10" s="140" t="s">
        <v>72</v>
      </c>
    </row>
    <row r="11" spans="1:34" ht="32.25" thickBot="1">
      <c r="A11" s="105" t="s">
        <v>3</v>
      </c>
      <c r="B11" s="106" t="s">
        <v>123</v>
      </c>
      <c r="C11" s="106" t="s">
        <v>37</v>
      </c>
      <c r="D11" s="148" t="s">
        <v>133</v>
      </c>
      <c r="E11" s="150" t="s">
        <v>134</v>
      </c>
      <c r="F11" s="148" t="s">
        <v>133</v>
      </c>
      <c r="G11" s="150" t="s">
        <v>134</v>
      </c>
      <c r="H11" s="148" t="s">
        <v>133</v>
      </c>
      <c r="I11" s="150" t="s">
        <v>134</v>
      </c>
      <c r="J11" s="150" t="s">
        <v>135</v>
      </c>
      <c r="K11" s="106" t="s">
        <v>129</v>
      </c>
      <c r="L11" s="105" t="s">
        <v>18</v>
      </c>
      <c r="M11" s="106" t="s">
        <v>0</v>
      </c>
      <c r="N11" s="106" t="s">
        <v>8</v>
      </c>
      <c r="AG11" s="140" t="s">
        <v>116</v>
      </c>
    </row>
    <row r="12" spans="1:34" ht="24.75" customHeight="1">
      <c r="A12" s="183"/>
      <c r="B12" s="162"/>
      <c r="C12" s="194" t="str">
        <f t="shared" ref="C12:C26" si="0">IF(B12=0," ",B12)</f>
        <v xml:space="preserve"> </v>
      </c>
      <c r="D12" s="144" t="str">
        <f t="shared" ref="D12:D26" si="1">IF(AND(E12&lt;=2,E12&gt;=0.1),1,IF(AND(E12&gt;=2.1,E12&lt;=3.2),1.5,IF(AND(E12&gt;=3.3,E12&lt;=4.2),2," ")))</f>
        <v xml:space="preserve"> </v>
      </c>
      <c r="E12" s="200"/>
      <c r="F12" s="209" t="str">
        <f t="shared" ref="F12:F26" si="2">IF(G12=0," ",(_xlfn.CEILING.MATH((ROUNDUP(G12,0)/2.56),0.25)+0.25))</f>
        <v xml:space="preserve"> </v>
      </c>
      <c r="G12" s="200"/>
      <c r="H12" s="144" t="str">
        <f t="shared" ref="H12:H26" si="3">IF(I12=0," ",((ROUNDUP(I12,0)/2.56)+2))</f>
        <v xml:space="preserve"> </v>
      </c>
      <c r="I12" s="200"/>
      <c r="J12" s="211" t="str">
        <f t="shared" ref="J12:J26" si="4">IFERROR((ROUNDUP((H12/12),0))," ")</f>
        <v xml:space="preserve"> </v>
      </c>
      <c r="K12" s="187" t="str">
        <f t="shared" ref="K12:K26" si="5">IFERROR(((C12*D12*F12*H12)/144)," ")</f>
        <v xml:space="preserve"> </v>
      </c>
      <c r="L12" s="141"/>
      <c r="M12" s="123"/>
      <c r="N12" s="124"/>
      <c r="AF12" t="s">
        <v>74</v>
      </c>
      <c r="AG12" s="140" t="s">
        <v>50</v>
      </c>
    </row>
    <row r="13" spans="1:34" ht="24.75" customHeight="1">
      <c r="A13" s="184"/>
      <c r="B13" s="153"/>
      <c r="C13" s="190" t="str">
        <f t="shared" si="0"/>
        <v xml:space="preserve"> </v>
      </c>
      <c r="D13" s="151" t="str">
        <f t="shared" si="1"/>
        <v xml:space="preserve"> </v>
      </c>
      <c r="E13" s="201"/>
      <c r="F13" s="205" t="str">
        <f t="shared" si="2"/>
        <v xml:space="preserve"> </v>
      </c>
      <c r="G13" s="201"/>
      <c r="H13" s="151" t="str">
        <f t="shared" si="3"/>
        <v xml:space="preserve"> </v>
      </c>
      <c r="I13" s="201"/>
      <c r="J13" s="212" t="str">
        <f t="shared" si="4"/>
        <v xml:space="preserve"> </v>
      </c>
      <c r="K13" s="188" t="str">
        <f t="shared" si="5"/>
        <v xml:space="preserve"> </v>
      </c>
      <c r="L13" s="115"/>
      <c r="M13" s="116"/>
      <c r="N13" s="117"/>
      <c r="AF13" t="s">
        <v>19</v>
      </c>
      <c r="AG13" s="140" t="s">
        <v>100</v>
      </c>
    </row>
    <row r="14" spans="1:34" ht="24.75" customHeight="1">
      <c r="A14" s="184"/>
      <c r="B14" s="153"/>
      <c r="C14" s="190" t="str">
        <f t="shared" si="0"/>
        <v xml:space="preserve"> </v>
      </c>
      <c r="D14" s="151" t="str">
        <f t="shared" si="1"/>
        <v xml:space="preserve"> </v>
      </c>
      <c r="E14" s="201"/>
      <c r="F14" s="205" t="str">
        <f t="shared" si="2"/>
        <v xml:space="preserve"> </v>
      </c>
      <c r="G14" s="201"/>
      <c r="H14" s="151" t="str">
        <f t="shared" si="3"/>
        <v xml:space="preserve"> </v>
      </c>
      <c r="I14" s="201"/>
      <c r="J14" s="212" t="str">
        <f t="shared" si="4"/>
        <v xml:space="preserve"> </v>
      </c>
      <c r="K14" s="188" t="str">
        <f t="shared" si="5"/>
        <v xml:space="preserve"> </v>
      </c>
      <c r="L14" s="115"/>
      <c r="M14" s="116"/>
      <c r="N14" s="117"/>
      <c r="AF14" t="s">
        <v>75</v>
      </c>
      <c r="AG14" s="140" t="s">
        <v>73</v>
      </c>
    </row>
    <row r="15" spans="1:34" ht="24.75" customHeight="1">
      <c r="A15" s="184"/>
      <c r="B15" s="153"/>
      <c r="C15" s="190" t="str">
        <f t="shared" si="0"/>
        <v xml:space="preserve"> </v>
      </c>
      <c r="D15" s="151" t="str">
        <f t="shared" si="1"/>
        <v xml:space="preserve"> </v>
      </c>
      <c r="E15" s="201"/>
      <c r="F15" s="205" t="str">
        <f t="shared" si="2"/>
        <v xml:space="preserve"> </v>
      </c>
      <c r="G15" s="201"/>
      <c r="H15" s="151" t="str">
        <f t="shared" si="3"/>
        <v xml:space="preserve"> </v>
      </c>
      <c r="I15" s="201"/>
      <c r="J15" s="212" t="str">
        <f t="shared" si="4"/>
        <v xml:space="preserve"> </v>
      </c>
      <c r="K15" s="188" t="str">
        <f t="shared" si="5"/>
        <v xml:space="preserve"> </v>
      </c>
      <c r="L15" s="115"/>
      <c r="M15" s="116"/>
      <c r="N15" s="117"/>
      <c r="AF15" t="s">
        <v>79</v>
      </c>
      <c r="AG15" s="140" t="s">
        <v>101</v>
      </c>
    </row>
    <row r="16" spans="1:34" ht="24.75" customHeight="1">
      <c r="A16" s="184"/>
      <c r="B16" s="153"/>
      <c r="C16" s="190" t="str">
        <f t="shared" si="0"/>
        <v xml:space="preserve"> </v>
      </c>
      <c r="D16" s="151" t="str">
        <f t="shared" si="1"/>
        <v xml:space="preserve"> </v>
      </c>
      <c r="E16" s="201"/>
      <c r="F16" s="205" t="str">
        <f t="shared" si="2"/>
        <v xml:space="preserve"> </v>
      </c>
      <c r="G16" s="201"/>
      <c r="H16" s="151" t="str">
        <f t="shared" si="3"/>
        <v xml:space="preserve"> </v>
      </c>
      <c r="I16" s="201"/>
      <c r="J16" s="212" t="str">
        <f t="shared" si="4"/>
        <v xml:space="preserve"> </v>
      </c>
      <c r="K16" s="188" t="str">
        <f t="shared" si="5"/>
        <v xml:space="preserve"> </v>
      </c>
      <c r="L16" s="115"/>
      <c r="M16" s="116"/>
      <c r="N16" s="117"/>
      <c r="AF16" t="s">
        <v>58</v>
      </c>
      <c r="AG16" s="140"/>
    </row>
    <row r="17" spans="1:33" ht="24.75" customHeight="1">
      <c r="A17" s="185"/>
      <c r="B17" s="153"/>
      <c r="C17" s="190" t="str">
        <f t="shared" si="0"/>
        <v xml:space="preserve"> </v>
      </c>
      <c r="D17" s="151" t="str">
        <f t="shared" si="1"/>
        <v xml:space="preserve"> </v>
      </c>
      <c r="E17" s="201"/>
      <c r="F17" s="205" t="str">
        <f t="shared" si="2"/>
        <v xml:space="preserve"> </v>
      </c>
      <c r="G17" s="201"/>
      <c r="H17" s="151" t="str">
        <f t="shared" si="3"/>
        <v xml:space="preserve"> </v>
      </c>
      <c r="I17" s="201"/>
      <c r="J17" s="212" t="str">
        <f t="shared" si="4"/>
        <v xml:space="preserve"> </v>
      </c>
      <c r="K17" s="188" t="str">
        <f t="shared" si="5"/>
        <v xml:space="preserve"> </v>
      </c>
      <c r="L17" s="115"/>
      <c r="M17" s="116"/>
      <c r="N17" s="117"/>
      <c r="AF17" t="s">
        <v>56</v>
      </c>
    </row>
    <row r="18" spans="1:33" ht="24.75" customHeight="1">
      <c r="A18" s="185"/>
      <c r="B18" s="153"/>
      <c r="C18" s="190" t="str">
        <f t="shared" si="0"/>
        <v xml:space="preserve"> </v>
      </c>
      <c r="D18" s="151" t="str">
        <f t="shared" si="1"/>
        <v xml:space="preserve"> </v>
      </c>
      <c r="E18" s="201"/>
      <c r="F18" s="205" t="str">
        <f t="shared" si="2"/>
        <v xml:space="preserve"> </v>
      </c>
      <c r="G18" s="201"/>
      <c r="H18" s="151" t="str">
        <f t="shared" si="3"/>
        <v xml:space="preserve"> </v>
      </c>
      <c r="I18" s="201"/>
      <c r="J18" s="212" t="str">
        <f t="shared" si="4"/>
        <v xml:space="preserve"> </v>
      </c>
      <c r="K18" s="188" t="str">
        <f t="shared" si="5"/>
        <v xml:space="preserve"> </v>
      </c>
      <c r="L18" s="115"/>
      <c r="M18" s="116"/>
      <c r="N18" s="117"/>
    </row>
    <row r="19" spans="1:33" ht="24.75" customHeight="1">
      <c r="A19" s="185"/>
      <c r="B19" s="153"/>
      <c r="C19" s="190" t="str">
        <f t="shared" si="0"/>
        <v xml:space="preserve"> </v>
      </c>
      <c r="D19" s="151" t="str">
        <f t="shared" si="1"/>
        <v xml:space="preserve"> </v>
      </c>
      <c r="E19" s="201"/>
      <c r="F19" s="205" t="str">
        <f t="shared" si="2"/>
        <v xml:space="preserve"> </v>
      </c>
      <c r="G19" s="201"/>
      <c r="H19" s="151" t="str">
        <f t="shared" si="3"/>
        <v xml:space="preserve"> </v>
      </c>
      <c r="I19" s="201"/>
      <c r="J19" s="212" t="str">
        <f t="shared" si="4"/>
        <v xml:space="preserve"> </v>
      </c>
      <c r="K19" s="188" t="str">
        <f t="shared" si="5"/>
        <v xml:space="preserve"> </v>
      </c>
      <c r="L19" s="115"/>
      <c r="M19" s="116"/>
      <c r="N19" s="117"/>
    </row>
    <row r="20" spans="1:33" ht="24.75" customHeight="1">
      <c r="A20" s="185"/>
      <c r="B20" s="153"/>
      <c r="C20" s="190" t="str">
        <f t="shared" si="0"/>
        <v xml:space="preserve"> </v>
      </c>
      <c r="D20" s="151" t="str">
        <f t="shared" si="1"/>
        <v xml:space="preserve"> </v>
      </c>
      <c r="E20" s="201"/>
      <c r="F20" s="205" t="str">
        <f t="shared" si="2"/>
        <v xml:space="preserve"> </v>
      </c>
      <c r="G20" s="201"/>
      <c r="H20" s="151" t="str">
        <f t="shared" si="3"/>
        <v xml:space="preserve"> </v>
      </c>
      <c r="I20" s="201"/>
      <c r="J20" s="212" t="str">
        <f t="shared" si="4"/>
        <v xml:space="preserve"> </v>
      </c>
      <c r="K20" s="188" t="str">
        <f t="shared" si="5"/>
        <v xml:space="preserve"> </v>
      </c>
      <c r="L20" s="115"/>
      <c r="M20" s="116"/>
      <c r="N20" s="117"/>
    </row>
    <row r="21" spans="1:33" ht="24.75" customHeight="1">
      <c r="A21" s="185"/>
      <c r="B21" s="153"/>
      <c r="C21" s="190" t="str">
        <f t="shared" si="0"/>
        <v xml:space="preserve"> </v>
      </c>
      <c r="D21" s="151" t="str">
        <f t="shared" si="1"/>
        <v xml:space="preserve"> </v>
      </c>
      <c r="E21" s="201"/>
      <c r="F21" s="205" t="str">
        <f t="shared" si="2"/>
        <v xml:space="preserve"> </v>
      </c>
      <c r="G21" s="201"/>
      <c r="H21" s="151" t="str">
        <f t="shared" si="3"/>
        <v xml:space="preserve"> </v>
      </c>
      <c r="I21" s="201"/>
      <c r="J21" s="212" t="str">
        <f t="shared" si="4"/>
        <v xml:space="preserve"> </v>
      </c>
      <c r="K21" s="188" t="str">
        <f t="shared" si="5"/>
        <v xml:space="preserve"> </v>
      </c>
      <c r="L21" s="115"/>
      <c r="M21" s="116"/>
      <c r="N21" s="117"/>
    </row>
    <row r="22" spans="1:33" ht="24.75" customHeight="1">
      <c r="A22" s="185"/>
      <c r="B22" s="153"/>
      <c r="C22" s="190" t="str">
        <f t="shared" si="0"/>
        <v xml:space="preserve"> </v>
      </c>
      <c r="D22" s="151" t="str">
        <f t="shared" si="1"/>
        <v xml:space="preserve"> </v>
      </c>
      <c r="E22" s="201"/>
      <c r="F22" s="205" t="str">
        <f t="shared" si="2"/>
        <v xml:space="preserve"> </v>
      </c>
      <c r="G22" s="201"/>
      <c r="H22" s="151" t="str">
        <f t="shared" si="3"/>
        <v xml:space="preserve"> </v>
      </c>
      <c r="I22" s="201"/>
      <c r="J22" s="212" t="str">
        <f t="shared" si="4"/>
        <v xml:space="preserve"> </v>
      </c>
      <c r="K22" s="188" t="str">
        <f t="shared" si="5"/>
        <v xml:space="preserve"> </v>
      </c>
      <c r="L22" s="115"/>
      <c r="M22" s="116"/>
      <c r="N22" s="117"/>
    </row>
    <row r="23" spans="1:33" ht="24.75" customHeight="1">
      <c r="A23" s="184"/>
      <c r="B23" s="153"/>
      <c r="C23" s="190" t="str">
        <f t="shared" si="0"/>
        <v xml:space="preserve"> </v>
      </c>
      <c r="D23" s="151" t="str">
        <f t="shared" si="1"/>
        <v xml:space="preserve"> </v>
      </c>
      <c r="E23" s="201"/>
      <c r="F23" s="205" t="str">
        <f t="shared" si="2"/>
        <v xml:space="preserve"> </v>
      </c>
      <c r="G23" s="201"/>
      <c r="H23" s="151" t="str">
        <f t="shared" si="3"/>
        <v xml:space="preserve"> </v>
      </c>
      <c r="I23" s="201"/>
      <c r="J23" s="212" t="str">
        <f t="shared" si="4"/>
        <v xml:space="preserve"> </v>
      </c>
      <c r="K23" s="188" t="str">
        <f t="shared" si="5"/>
        <v xml:space="preserve"> </v>
      </c>
      <c r="L23" s="115"/>
      <c r="M23" s="116"/>
      <c r="N23" s="117"/>
      <c r="AF23" t="s">
        <v>57</v>
      </c>
    </row>
    <row r="24" spans="1:33" ht="24.75" customHeight="1">
      <c r="A24" s="184"/>
      <c r="B24" s="153"/>
      <c r="C24" s="190" t="str">
        <f t="shared" si="0"/>
        <v xml:space="preserve"> </v>
      </c>
      <c r="D24" s="151" t="str">
        <f t="shared" si="1"/>
        <v xml:space="preserve"> </v>
      </c>
      <c r="E24" s="201"/>
      <c r="F24" s="205" t="str">
        <f t="shared" si="2"/>
        <v xml:space="preserve"> </v>
      </c>
      <c r="G24" s="201"/>
      <c r="H24" s="151" t="str">
        <f t="shared" si="3"/>
        <v xml:space="preserve"> </v>
      </c>
      <c r="I24" s="201"/>
      <c r="J24" s="212" t="str">
        <f t="shared" si="4"/>
        <v xml:space="preserve"> </v>
      </c>
      <c r="K24" s="188" t="str">
        <f t="shared" si="5"/>
        <v xml:space="preserve"> </v>
      </c>
      <c r="L24" s="115"/>
      <c r="M24" s="116"/>
      <c r="N24" s="117"/>
      <c r="AG24" s="59"/>
    </row>
    <row r="25" spans="1:33" ht="24.75" customHeight="1">
      <c r="A25" s="184"/>
      <c r="B25" s="153"/>
      <c r="C25" s="190" t="str">
        <f t="shared" si="0"/>
        <v xml:space="preserve"> </v>
      </c>
      <c r="D25" s="151" t="str">
        <f t="shared" si="1"/>
        <v xml:space="preserve"> </v>
      </c>
      <c r="E25" s="202"/>
      <c r="F25" s="205" t="str">
        <f t="shared" si="2"/>
        <v xml:space="preserve"> </v>
      </c>
      <c r="G25" s="202"/>
      <c r="H25" s="151" t="str">
        <f t="shared" si="3"/>
        <v xml:space="preserve"> </v>
      </c>
      <c r="I25" s="202"/>
      <c r="J25" s="212" t="str">
        <f t="shared" si="4"/>
        <v xml:space="preserve"> </v>
      </c>
      <c r="K25" s="188" t="str">
        <f t="shared" si="5"/>
        <v xml:space="preserve"> </v>
      </c>
      <c r="L25" s="115"/>
      <c r="M25" s="116"/>
      <c r="N25" s="117"/>
      <c r="AG25" s="59"/>
    </row>
    <row r="26" spans="1:33" ht="24" customHeight="1" thickBot="1">
      <c r="A26" s="186"/>
      <c r="B26" s="122"/>
      <c r="C26" s="191" t="str">
        <f t="shared" si="0"/>
        <v xml:space="preserve"> </v>
      </c>
      <c r="D26" s="152" t="str">
        <f t="shared" si="1"/>
        <v xml:space="preserve"> </v>
      </c>
      <c r="E26" s="203"/>
      <c r="F26" s="210" t="str">
        <f t="shared" si="2"/>
        <v xml:space="preserve"> </v>
      </c>
      <c r="G26" s="135"/>
      <c r="H26" s="152" t="str">
        <f t="shared" si="3"/>
        <v xml:space="preserve"> </v>
      </c>
      <c r="I26" s="135"/>
      <c r="J26" s="213" t="str">
        <f t="shared" si="4"/>
        <v xml:space="preserve"> </v>
      </c>
      <c r="K26" s="189" t="str">
        <f t="shared" si="5"/>
        <v xml:space="preserve"> </v>
      </c>
      <c r="L26" s="118"/>
      <c r="M26" s="119"/>
      <c r="N26" s="120"/>
      <c r="AG26" s="59"/>
    </row>
    <row r="27" spans="1:33" ht="15.75">
      <c r="A27" s="154"/>
      <c r="B27" s="154"/>
      <c r="C27" s="192"/>
      <c r="D27" s="192"/>
      <c r="E27" s="192"/>
      <c r="F27" s="192"/>
      <c r="G27" s="192"/>
      <c r="H27" s="192"/>
      <c r="I27" s="192"/>
      <c r="J27" s="192"/>
      <c r="K27" s="192"/>
      <c r="L27" s="192"/>
      <c r="M27" s="192"/>
      <c r="N27" s="128"/>
      <c r="O27" s="129"/>
      <c r="P27" s="128"/>
      <c r="AG27" s="59"/>
    </row>
    <row r="28" spans="1:33" ht="16.5" thickBot="1">
      <c r="A28" s="154"/>
      <c r="B28" s="154"/>
      <c r="C28" s="127"/>
      <c r="D28" s="128"/>
      <c r="E28" s="130"/>
      <c r="F28" s="131"/>
      <c r="G28" s="130"/>
      <c r="H28" s="132"/>
      <c r="I28" s="130"/>
      <c r="J28" s="131"/>
      <c r="K28" s="130"/>
      <c r="L28" s="132"/>
      <c r="M28" s="164"/>
      <c r="N28" s="128"/>
      <c r="O28" s="129"/>
      <c r="P28" s="128"/>
      <c r="AG28" s="59"/>
    </row>
    <row r="29" spans="1:33" ht="18.75" thickBot="1">
      <c r="A29" s="234" t="s">
        <v>105</v>
      </c>
      <c r="B29" s="235"/>
      <c r="C29" s="235"/>
      <c r="D29" s="235"/>
      <c r="E29" s="235"/>
      <c r="F29" s="235"/>
      <c r="G29" s="235"/>
      <c r="H29" s="235"/>
      <c r="I29" s="235"/>
      <c r="J29" s="235"/>
      <c r="K29" s="235"/>
      <c r="L29" s="236"/>
      <c r="M29" s="171">
        <f>SUM(M31:M37)</f>
        <v>0</v>
      </c>
      <c r="N29" s="164"/>
      <c r="O29" s="164"/>
      <c r="P29" s="164"/>
      <c r="AF29" t="s">
        <v>81</v>
      </c>
    </row>
    <row r="30" spans="1:33" ht="32.25" thickBot="1">
      <c r="A30" s="174" t="s">
        <v>154</v>
      </c>
      <c r="B30" s="193" t="s">
        <v>107</v>
      </c>
      <c r="C30" s="182" t="s">
        <v>3</v>
      </c>
      <c r="D30" s="106" t="s">
        <v>123</v>
      </c>
      <c r="E30" s="106" t="s">
        <v>37</v>
      </c>
      <c r="F30" s="149" t="s">
        <v>133</v>
      </c>
      <c r="G30" s="150" t="s">
        <v>134</v>
      </c>
      <c r="H30" s="148" t="s">
        <v>133</v>
      </c>
      <c r="I30" s="150" t="s">
        <v>134</v>
      </c>
      <c r="J30" s="148" t="s">
        <v>133</v>
      </c>
      <c r="K30" s="150" t="s">
        <v>134</v>
      </c>
      <c r="L30" s="150" t="s">
        <v>135</v>
      </c>
      <c r="M30" s="106" t="s">
        <v>129</v>
      </c>
      <c r="N30" s="105" t="s">
        <v>18</v>
      </c>
      <c r="O30" s="106" t="s">
        <v>0</v>
      </c>
      <c r="P30" s="106" t="s">
        <v>8</v>
      </c>
    </row>
    <row r="31" spans="1:33" ht="24" customHeight="1">
      <c r="A31" s="174"/>
      <c r="B31" s="180"/>
      <c r="C31" s="175"/>
      <c r="D31" s="121"/>
      <c r="E31" s="145" t="str">
        <f>IF(D31=0," ",D31*$G$6)</f>
        <v xml:space="preserve"> </v>
      </c>
      <c r="F31" s="144" t="str">
        <f t="shared" ref="F31:F37" si="6">IF(AND(G31&lt;=2,G31&gt;=0.1),1,IF(AND(G31&gt;=2.1,G31&lt;=3.2),1.5,IF(AND(G31&gt;=3.3,G31&lt;=4.2),2," ")))</f>
        <v xml:space="preserve"> </v>
      </c>
      <c r="G31" s="198"/>
      <c r="H31" s="204" t="str">
        <f t="shared" ref="H31:H37" si="7">IF(I31=0," ",(_xlfn.CEILING.MATH((ROUNDUP(I31,0)/2.56),0.25)+0.25))</f>
        <v xml:space="preserve"> </v>
      </c>
      <c r="I31" s="198"/>
      <c r="J31" s="207" t="str">
        <f t="shared" ref="J31:J37" si="8">IF(K31=0," ",((ROUNDUP(K31,0)/2.56)+2))</f>
        <v xml:space="preserve"> </v>
      </c>
      <c r="K31" s="198"/>
      <c r="L31" s="214" t="str">
        <f t="shared" ref="L31:L37" si="9">IFERROR((ROUNDUP((J31/12),0))," ")</f>
        <v xml:space="preserve"> </v>
      </c>
      <c r="M31" s="197" t="str">
        <f t="shared" ref="M31:M37" si="10">IFERROR(((E31*F31*H31*J31)/144)," ")</f>
        <v xml:space="preserve"> </v>
      </c>
      <c r="N31" s="163"/>
      <c r="O31" s="123"/>
      <c r="P31" s="124"/>
    </row>
    <row r="32" spans="1:33" ht="24" customHeight="1">
      <c r="A32" s="177"/>
      <c r="B32" s="181"/>
      <c r="C32" s="178"/>
      <c r="D32" s="179"/>
      <c r="E32" s="146"/>
      <c r="F32" s="151" t="str">
        <f t="shared" si="6"/>
        <v xml:space="preserve"> </v>
      </c>
      <c r="G32" s="134"/>
      <c r="H32" s="205" t="str">
        <f t="shared" si="7"/>
        <v xml:space="preserve"> </v>
      </c>
      <c r="I32" s="134"/>
      <c r="J32" s="151" t="str">
        <f t="shared" si="8"/>
        <v xml:space="preserve"> </v>
      </c>
      <c r="K32" s="134"/>
      <c r="L32" s="215" t="str">
        <f t="shared" si="9"/>
        <v xml:space="preserve"> </v>
      </c>
      <c r="M32" s="196" t="str">
        <f t="shared" si="10"/>
        <v xml:space="preserve"> </v>
      </c>
      <c r="N32" s="136"/>
      <c r="O32" s="116"/>
      <c r="P32" s="117"/>
    </row>
    <row r="33" spans="1:33" ht="24" customHeight="1">
      <c r="A33" s="177"/>
      <c r="B33" s="181"/>
      <c r="C33" s="178"/>
      <c r="D33" s="179"/>
      <c r="E33" s="146"/>
      <c r="F33" s="151" t="str">
        <f t="shared" si="6"/>
        <v xml:space="preserve"> </v>
      </c>
      <c r="G33" s="134"/>
      <c r="H33" s="205" t="str">
        <f t="shared" si="7"/>
        <v xml:space="preserve"> </v>
      </c>
      <c r="I33" s="134"/>
      <c r="J33" s="151" t="str">
        <f t="shared" si="8"/>
        <v xml:space="preserve"> </v>
      </c>
      <c r="K33" s="134"/>
      <c r="L33" s="215" t="str">
        <f t="shared" si="9"/>
        <v xml:space="preserve"> </v>
      </c>
      <c r="M33" s="196" t="str">
        <f t="shared" si="10"/>
        <v xml:space="preserve"> </v>
      </c>
      <c r="N33" s="136"/>
      <c r="O33" s="116"/>
      <c r="P33" s="117"/>
    </row>
    <row r="34" spans="1:33" ht="24" customHeight="1">
      <c r="A34" s="125"/>
      <c r="B34" s="173"/>
      <c r="C34" s="173"/>
      <c r="D34" s="114"/>
      <c r="E34" s="146" t="str">
        <f>IF(D34=0," ",D34*$G$6)</f>
        <v xml:space="preserve"> </v>
      </c>
      <c r="F34" s="151" t="str">
        <f t="shared" si="6"/>
        <v xml:space="preserve"> </v>
      </c>
      <c r="G34" s="134"/>
      <c r="H34" s="205" t="str">
        <f t="shared" si="7"/>
        <v xml:space="preserve"> </v>
      </c>
      <c r="I34" s="134"/>
      <c r="J34" s="151" t="str">
        <f t="shared" si="8"/>
        <v xml:space="preserve"> </v>
      </c>
      <c r="K34" s="134"/>
      <c r="L34" s="215" t="str">
        <f t="shared" si="9"/>
        <v xml:space="preserve"> </v>
      </c>
      <c r="M34" s="196" t="str">
        <f t="shared" si="10"/>
        <v xml:space="preserve"> </v>
      </c>
      <c r="N34" s="136"/>
      <c r="O34" s="116"/>
      <c r="P34" s="176"/>
    </row>
    <row r="35" spans="1:33" ht="24" customHeight="1">
      <c r="A35" s="125"/>
      <c r="B35" s="173"/>
      <c r="C35" s="173"/>
      <c r="D35" s="114"/>
      <c r="E35" s="146" t="str">
        <f t="shared" ref="E35" si="11">IF(D35=0," ",D35*$G$6)</f>
        <v xml:space="preserve"> </v>
      </c>
      <c r="F35" s="151" t="str">
        <f t="shared" si="6"/>
        <v xml:space="preserve"> </v>
      </c>
      <c r="G35" s="134"/>
      <c r="H35" s="205" t="str">
        <f t="shared" si="7"/>
        <v xml:space="preserve"> </v>
      </c>
      <c r="I35" s="134"/>
      <c r="J35" s="151" t="str">
        <f t="shared" si="8"/>
        <v xml:space="preserve"> </v>
      </c>
      <c r="K35" s="134"/>
      <c r="L35" s="215" t="str">
        <f t="shared" si="9"/>
        <v xml:space="preserve"> </v>
      </c>
      <c r="M35" s="196" t="str">
        <f t="shared" si="10"/>
        <v xml:space="preserve"> </v>
      </c>
      <c r="N35" s="136"/>
      <c r="O35" s="116"/>
      <c r="P35" s="176"/>
    </row>
    <row r="36" spans="1:33" ht="24" customHeight="1">
      <c r="A36" s="125"/>
      <c r="B36" s="173"/>
      <c r="C36" s="173"/>
      <c r="D36" s="114"/>
      <c r="E36" s="146" t="str">
        <f>IF(D36=0," ",D36*$G$6)</f>
        <v xml:space="preserve"> </v>
      </c>
      <c r="F36" s="151" t="str">
        <f t="shared" si="6"/>
        <v xml:space="preserve"> </v>
      </c>
      <c r="G36" s="134"/>
      <c r="H36" s="205" t="str">
        <f t="shared" si="7"/>
        <v xml:space="preserve"> </v>
      </c>
      <c r="I36" s="134"/>
      <c r="J36" s="151" t="str">
        <f t="shared" si="8"/>
        <v xml:space="preserve"> </v>
      </c>
      <c r="K36" s="134"/>
      <c r="L36" s="215" t="str">
        <f t="shared" si="9"/>
        <v xml:space="preserve"> </v>
      </c>
      <c r="M36" s="196" t="str">
        <f t="shared" si="10"/>
        <v xml:space="preserve"> </v>
      </c>
      <c r="N36" s="136"/>
      <c r="O36" s="116"/>
      <c r="P36" s="176"/>
    </row>
    <row r="37" spans="1:33" ht="24" customHeight="1" thickBot="1">
      <c r="A37" s="126"/>
      <c r="B37" s="172"/>
      <c r="C37" s="172"/>
      <c r="D37" s="122"/>
      <c r="E37" s="147" t="str">
        <f>IF(D37=0," ",D37*$G$6)</f>
        <v xml:space="preserve"> </v>
      </c>
      <c r="F37" s="152" t="str">
        <f t="shared" si="6"/>
        <v xml:space="preserve"> </v>
      </c>
      <c r="G37" s="199"/>
      <c r="H37" s="206" t="str">
        <f t="shared" si="7"/>
        <v xml:space="preserve"> </v>
      </c>
      <c r="I37" s="199"/>
      <c r="J37" s="208" t="str">
        <f t="shared" si="8"/>
        <v xml:space="preserve"> </v>
      </c>
      <c r="K37" s="199"/>
      <c r="L37" s="216" t="str">
        <f t="shared" si="9"/>
        <v xml:space="preserve"> </v>
      </c>
      <c r="M37" s="189" t="str">
        <f t="shared" si="10"/>
        <v xml:space="preserve"> </v>
      </c>
      <c r="N37" s="137"/>
      <c r="O37" s="119"/>
      <c r="P37" s="120"/>
      <c r="AG37" s="59"/>
    </row>
    <row r="38" spans="1:33" ht="15.75">
      <c r="A38" s="127"/>
      <c r="B38" s="127"/>
      <c r="C38" s="127"/>
      <c r="D38" s="128"/>
      <c r="E38" s="130"/>
      <c r="F38" s="131"/>
      <c r="G38" s="130"/>
      <c r="H38" s="132"/>
      <c r="I38" s="130"/>
      <c r="J38" s="132"/>
      <c r="K38" s="130"/>
      <c r="L38" s="130"/>
      <c r="M38" s="133"/>
      <c r="N38" s="128"/>
      <c r="O38" s="129"/>
      <c r="P38" s="128"/>
      <c r="AG38" s="59"/>
    </row>
    <row r="39" spans="1:33" ht="12" customHeight="1"/>
    <row r="40" spans="1:33" ht="20.25">
      <c r="A40" s="158"/>
      <c r="B40" s="158"/>
      <c r="C40" s="158"/>
      <c r="D40" s="217"/>
      <c r="E40" s="218"/>
      <c r="F40" s="218"/>
      <c r="G40" s="218"/>
      <c r="H40" s="218"/>
      <c r="I40" s="218"/>
      <c r="J40" s="218"/>
      <c r="K40" s="111"/>
      <c r="L40" s="111"/>
      <c r="M40" s="239" t="s">
        <v>124</v>
      </c>
      <c r="N40" s="239"/>
      <c r="O40" s="239"/>
      <c r="P40" s="239"/>
    </row>
    <row r="41" spans="1:33" ht="30">
      <c r="B41" s="155"/>
      <c r="C41" s="155"/>
      <c r="D41" s="155"/>
      <c r="E41" s="110"/>
      <c r="F41" s="110"/>
      <c r="G41" s="110"/>
      <c r="H41" s="110"/>
      <c r="I41" s="110"/>
      <c r="J41" s="110"/>
      <c r="K41" s="110"/>
      <c r="L41" s="110"/>
      <c r="M41" s="25" t="s">
        <v>0</v>
      </c>
      <c r="N41" s="142" t="s">
        <v>126</v>
      </c>
      <c r="O41" s="142" t="s">
        <v>127</v>
      </c>
      <c r="P41" s="65" t="s">
        <v>137</v>
      </c>
    </row>
    <row r="42" spans="1:33" ht="18" customHeight="1">
      <c r="B42" s="156"/>
      <c r="C42" s="156"/>
      <c r="D42" s="156"/>
      <c r="E42" s="94"/>
      <c r="F42" s="91"/>
      <c r="G42" s="91"/>
      <c r="H42" s="91"/>
      <c r="I42" s="91"/>
      <c r="J42" s="91"/>
      <c r="K42" s="93"/>
      <c r="L42" s="93"/>
      <c r="M42" t="s">
        <v>16</v>
      </c>
      <c r="P42" s="32"/>
    </row>
    <row r="43" spans="1:33" ht="18" customHeight="1">
      <c r="B43" s="156"/>
      <c r="C43" s="156"/>
      <c r="D43" s="156"/>
      <c r="E43" s="94"/>
      <c r="F43" s="91"/>
      <c r="G43" s="91"/>
      <c r="H43" s="91"/>
      <c r="I43" s="91"/>
      <c r="J43" s="91"/>
      <c r="K43" s="93"/>
      <c r="L43" s="93"/>
      <c r="M43"/>
    </row>
    <row r="44" spans="1:33" ht="20.25" customHeight="1">
      <c r="A44" s="156"/>
      <c r="B44" s="156"/>
      <c r="C44" s="156"/>
      <c r="D44" s="94"/>
      <c r="E44" s="95"/>
      <c r="F44" s="95"/>
      <c r="G44" s="95"/>
      <c r="H44" s="95"/>
      <c r="I44" s="95"/>
      <c r="J44" s="95"/>
      <c r="K44" s="93"/>
      <c r="L44" s="93"/>
      <c r="M44"/>
    </row>
    <row r="45" spans="1:33" ht="18" customHeight="1">
      <c r="A45" s="156"/>
      <c r="B45" s="156"/>
      <c r="C45" s="156"/>
      <c r="D45" s="94"/>
      <c r="E45" s="95"/>
      <c r="F45" s="95"/>
      <c r="G45" s="95"/>
      <c r="H45" s="95"/>
      <c r="I45" s="95"/>
      <c r="J45" s="95"/>
      <c r="K45" s="93"/>
      <c r="L45" s="93"/>
      <c r="M45"/>
    </row>
    <row r="46" spans="1:33" ht="18" customHeight="1">
      <c r="A46" s="156"/>
      <c r="B46" s="156"/>
      <c r="C46" s="156"/>
      <c r="D46" s="94"/>
      <c r="E46" s="95"/>
      <c r="F46" s="95"/>
      <c r="G46" s="95"/>
      <c r="H46" s="95"/>
      <c r="I46" s="95"/>
      <c r="J46" s="95"/>
      <c r="K46" s="93"/>
      <c r="L46" s="93"/>
      <c r="M46"/>
      <c r="Q46" s="2"/>
      <c r="AG46" s="59" t="s">
        <v>48</v>
      </c>
    </row>
    <row r="47" spans="1:33" ht="15.75" customHeight="1">
      <c r="A47" s="237"/>
      <c r="B47" s="237"/>
      <c r="C47" s="237"/>
      <c r="D47" s="237"/>
      <c r="E47" s="237"/>
      <c r="F47" s="237"/>
      <c r="G47" s="237"/>
      <c r="H47" s="237"/>
      <c r="I47" s="237"/>
      <c r="J47" s="237"/>
      <c r="K47" s="112"/>
      <c r="L47" s="112"/>
      <c r="M47"/>
      <c r="Q47" s="2"/>
      <c r="AG47" s="59"/>
    </row>
    <row r="48" spans="1:33" ht="20.25" customHeight="1">
      <c r="A48" s="156"/>
      <c r="B48" s="156"/>
      <c r="C48" s="156"/>
      <c r="D48" s="157"/>
      <c r="E48" s="130"/>
      <c r="F48" s="131"/>
      <c r="G48" s="130"/>
      <c r="H48" s="132"/>
      <c r="I48" s="130"/>
      <c r="J48" s="132"/>
      <c r="K48" s="90"/>
      <c r="L48" s="90"/>
      <c r="M48"/>
      <c r="Q48" s="2"/>
      <c r="AG48" s="59"/>
    </row>
    <row r="49" spans="1:33">
      <c r="D49" s="159"/>
      <c r="E49" s="160"/>
      <c r="F49" s="160"/>
      <c r="G49" s="160"/>
      <c r="H49" s="160"/>
      <c r="I49" s="160"/>
      <c r="J49" s="160"/>
      <c r="K49" s="91"/>
      <c r="L49" s="91"/>
      <c r="M49"/>
      <c r="AG49" s="59"/>
    </row>
    <row r="50" spans="1:33">
      <c r="D50" s="238" t="s">
        <v>35</v>
      </c>
      <c r="E50" s="238"/>
      <c r="F50" s="238"/>
      <c r="G50" s="161"/>
      <c r="H50" s="160"/>
      <c r="I50" s="161"/>
      <c r="J50" s="161"/>
      <c r="K50" s="91"/>
      <c r="L50" s="91"/>
      <c r="M50" s="238"/>
      <c r="N50" s="238"/>
      <c r="O50" s="238"/>
      <c r="AG50" s="59" t="s">
        <v>50</v>
      </c>
    </row>
    <row r="51" spans="1:33" ht="18" customHeight="1">
      <c r="D51" s="96" t="s">
        <v>153</v>
      </c>
      <c r="E51" s="96"/>
      <c r="F51" s="96"/>
      <c r="G51" s="165"/>
      <c r="H51" s="160"/>
      <c r="I51" s="161"/>
      <c r="J51" s="161"/>
      <c r="K51" s="91"/>
      <c r="L51" s="91"/>
      <c r="M51" s="94"/>
      <c r="N51" s="94"/>
      <c r="O51" s="94"/>
    </row>
    <row r="52" spans="1:33" ht="18" customHeight="1">
      <c r="D52" s="159"/>
      <c r="E52" s="161"/>
      <c r="F52" s="161"/>
      <c r="G52" s="161"/>
      <c r="H52" s="161"/>
      <c r="I52" s="161"/>
      <c r="J52" s="161"/>
      <c r="K52" s="91"/>
      <c r="L52" s="91"/>
      <c r="M52"/>
    </row>
    <row r="53" spans="1:33">
      <c r="A53" s="89"/>
      <c r="B53" s="89"/>
      <c r="C53" s="89"/>
      <c r="D53" s="89"/>
      <c r="M53"/>
    </row>
    <row r="54" spans="1:33" ht="21">
      <c r="D54" s="72"/>
      <c r="M54"/>
    </row>
    <row r="55" spans="1:33">
      <c r="M55"/>
      <c r="N55" s="94"/>
      <c r="O55" s="94"/>
      <c r="P55" s="94"/>
    </row>
    <row r="56" spans="1:33">
      <c r="A56" s="238"/>
      <c r="B56" s="238"/>
      <c r="C56" s="238"/>
      <c r="D56" s="238"/>
      <c r="E56" s="238"/>
      <c r="M56"/>
      <c r="N56" s="22"/>
      <c r="O56" s="22"/>
      <c r="P56" s="22"/>
    </row>
    <row r="57" spans="1:33">
      <c r="A57" s="94"/>
      <c r="B57" s="94"/>
      <c r="C57" s="94"/>
      <c r="D57" s="94"/>
      <c r="E57" s="94"/>
      <c r="F57" s="94"/>
      <c r="M57"/>
      <c r="N57" s="22"/>
      <c r="O57" s="22"/>
      <c r="P57" s="22"/>
    </row>
    <row r="58" spans="1:33" ht="21">
      <c r="A58" s="91"/>
      <c r="B58" s="91"/>
      <c r="C58" s="91"/>
      <c r="D58" s="143"/>
      <c r="E58" s="94"/>
      <c r="F58" s="94"/>
      <c r="M58"/>
      <c r="N58" s="22"/>
      <c r="O58" s="22"/>
      <c r="P58" s="22"/>
    </row>
    <row r="59" spans="1:33">
      <c r="M59"/>
      <c r="N59" s="22"/>
      <c r="O59" s="22"/>
      <c r="P59" s="22"/>
    </row>
    <row r="60" spans="1:33" ht="21">
      <c r="D60" s="72"/>
      <c r="M60"/>
      <c r="N60" s="22"/>
      <c r="O60" s="22"/>
      <c r="P60" s="22"/>
    </row>
    <row r="61" spans="1:33">
      <c r="M61"/>
      <c r="N61" s="22"/>
      <c r="O61" s="22"/>
      <c r="P61" s="22"/>
    </row>
    <row r="62" spans="1:33" ht="21">
      <c r="D62" s="72"/>
      <c r="M62"/>
      <c r="N62" s="22"/>
      <c r="O62" s="22"/>
      <c r="P62" s="22"/>
    </row>
    <row r="63" spans="1:33">
      <c r="N63" s="22"/>
      <c r="O63" s="22"/>
      <c r="P63" s="22"/>
    </row>
    <row r="64" spans="1:33" ht="21">
      <c r="D64" s="72"/>
      <c r="N64" s="22"/>
      <c r="O64" s="22"/>
      <c r="P64" s="22"/>
    </row>
    <row r="66" spans="4:4" ht="21">
      <c r="D66" s="72"/>
    </row>
  </sheetData>
  <sortState ref="AF1:AF9">
    <sortCondition ref="AF1"/>
  </sortState>
  <mergeCells count="21">
    <mergeCell ref="N6:P6"/>
    <mergeCell ref="N1:P3"/>
    <mergeCell ref="A1:M1"/>
    <mergeCell ref="A2:M2"/>
    <mergeCell ref="A3:M3"/>
    <mergeCell ref="N5:P5"/>
    <mergeCell ref="A5:B5"/>
    <mergeCell ref="A6:B6"/>
    <mergeCell ref="C5:F5"/>
    <mergeCell ref="C6:F6"/>
    <mergeCell ref="A29:L29"/>
    <mergeCell ref="A47:J47"/>
    <mergeCell ref="A56:E56"/>
    <mergeCell ref="M50:O50"/>
    <mergeCell ref="M40:P40"/>
    <mergeCell ref="D50:F50"/>
    <mergeCell ref="F10:G10"/>
    <mergeCell ref="D9:J9"/>
    <mergeCell ref="D10:E10"/>
    <mergeCell ref="H10:J10"/>
    <mergeCell ref="A9:C10"/>
  </mergeCells>
  <conditionalFormatting sqref="F28 D12:D26 F31:F37">
    <cfRule type="cellIs" dxfId="11" priority="7" operator="greaterThan">
      <formula>2</formula>
    </cfRule>
  </conditionalFormatting>
  <dataValidations count="4">
    <dataValidation type="list" allowBlank="1" showInputMessage="1" showErrorMessage="1" sqref="K42:L46 P27:P28 N12:N26 P31:P38">
      <formula1>$AH$1:$AH$6</formula1>
    </dataValidation>
    <dataValidation type="list" allowBlank="1" showInputMessage="1" showErrorMessage="1" sqref="N38">
      <formula1>$AF$12:$AF$29</formula1>
    </dataValidation>
    <dataValidation type="list" allowBlank="1" showInputMessage="1" showErrorMessage="1" sqref="O27:O28 M12:M26 O31:O37">
      <formula1>$AG$1:$AG$16</formula1>
    </dataValidation>
    <dataValidation type="list" allowBlank="1" showInputMessage="1" showErrorMessage="1" sqref="N27:N28 L12:L26 N31:N37">
      <formula1>$AF$1:$AF$3</formula1>
    </dataValidation>
  </dataValidations>
  <printOptions horizontalCentered="1" verticalCentered="1"/>
  <pageMargins left="0" right="0" top="0" bottom="0" header="0.31496062992125984" footer="0.31496062992125984"/>
  <pageSetup scale="54" orientation="landscape" horizontalDpi="4294967295" verticalDpi="4294967295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pageSetUpPr fitToPage="1"/>
  </sheetPr>
  <dimension ref="A1:H12"/>
  <sheetViews>
    <sheetView workbookViewId="0">
      <selection activeCell="F17" sqref="F17"/>
    </sheetView>
  </sheetViews>
  <sheetFormatPr baseColWidth="10" defaultRowHeight="15"/>
  <cols>
    <col min="1" max="1" width="26.140625" bestFit="1" customWidth="1"/>
    <col min="2" max="2" width="26.5703125" bestFit="1" customWidth="1"/>
    <col min="3" max="3" width="27" bestFit="1" customWidth="1"/>
    <col min="4" max="4" width="21.28515625" bestFit="1" customWidth="1"/>
    <col min="5" max="6" width="17.28515625" bestFit="1" customWidth="1"/>
    <col min="7" max="7" width="18" bestFit="1" customWidth="1"/>
    <col min="8" max="8" width="12.5703125" customWidth="1"/>
    <col min="9" max="11" width="18" bestFit="1" customWidth="1"/>
    <col min="12" max="12" width="12.5703125" customWidth="1"/>
    <col min="13" max="13" width="12.5703125" bestFit="1" customWidth="1"/>
  </cols>
  <sheetData>
    <row r="1" spans="1:8">
      <c r="A1" s="15" t="s">
        <v>5</v>
      </c>
      <c r="B1" s="16" t="s">
        <v>2</v>
      </c>
      <c r="C1" s="35" t="s">
        <v>6</v>
      </c>
    </row>
    <row r="2" spans="1:8" ht="15.75" thickBot="1">
      <c r="A2" s="8" t="s">
        <v>22</v>
      </c>
      <c r="B2" s="30" t="s">
        <v>23</v>
      </c>
      <c r="C2" s="34" t="s">
        <v>24</v>
      </c>
    </row>
    <row r="3" spans="1:8" ht="15.75" thickBot="1">
      <c r="A3" s="4"/>
      <c r="B3" s="5"/>
      <c r="C3" s="5"/>
      <c r="D3" s="23"/>
      <c r="E3" s="23"/>
      <c r="F3" s="5"/>
      <c r="G3" s="6"/>
    </row>
    <row r="4" spans="1:8">
      <c r="A4" s="18" t="s">
        <v>7</v>
      </c>
      <c r="B4" s="19" t="s">
        <v>14</v>
      </c>
      <c r="C4" s="20" t="s">
        <v>1</v>
      </c>
      <c r="E4" s="23"/>
      <c r="F4" s="5"/>
      <c r="G4" s="6"/>
    </row>
    <row r="5" spans="1:8" ht="15.75" thickBot="1">
      <c r="A5" s="9">
        <v>42131</v>
      </c>
      <c r="B5" s="31">
        <f>+Z7</f>
        <v>0</v>
      </c>
      <c r="C5" s="10">
        <v>4</v>
      </c>
      <c r="D5" s="23"/>
      <c r="E5" s="23"/>
      <c r="F5" s="5"/>
      <c r="G5" s="6"/>
    </row>
    <row r="8" spans="1:8">
      <c r="A8" s="25" t="s">
        <v>17</v>
      </c>
      <c r="G8" s="25" t="s">
        <v>13</v>
      </c>
    </row>
    <row r="9" spans="1:8">
      <c r="A9" s="25" t="s">
        <v>0</v>
      </c>
      <c r="B9" s="25" t="s">
        <v>8</v>
      </c>
      <c r="C9" s="25" t="s">
        <v>3</v>
      </c>
      <c r="D9" s="25" t="s">
        <v>1</v>
      </c>
      <c r="E9" s="25" t="s">
        <v>9</v>
      </c>
      <c r="F9" s="25" t="s">
        <v>12</v>
      </c>
      <c r="G9" s="28">
        <v>2</v>
      </c>
      <c r="H9" s="32" t="s">
        <v>16</v>
      </c>
    </row>
    <row r="10" spans="1:8">
      <c r="A10" t="s">
        <v>26</v>
      </c>
      <c r="B10" t="s">
        <v>20</v>
      </c>
      <c r="C10" t="s">
        <v>25</v>
      </c>
      <c r="D10">
        <v>128</v>
      </c>
      <c r="E10" s="27">
        <v>1.0374015748031495</v>
      </c>
      <c r="F10" s="26">
        <v>6</v>
      </c>
      <c r="G10" s="27">
        <v>148.78740157480314</v>
      </c>
      <c r="H10" s="29">
        <v>148.78740157480314</v>
      </c>
    </row>
    <row r="11" spans="1:8">
      <c r="A11" t="s">
        <v>27</v>
      </c>
      <c r="G11" s="27">
        <v>148.78740157480314</v>
      </c>
      <c r="H11" s="29">
        <v>148.78740157480314</v>
      </c>
    </row>
    <row r="12" spans="1:8">
      <c r="A12" t="s">
        <v>16</v>
      </c>
      <c r="G12" s="29">
        <v>148.78740157480314</v>
      </c>
      <c r="H12" s="29">
        <v>148.78740157480314</v>
      </c>
    </row>
  </sheetData>
  <pageMargins left="0.70866141732283472" right="0.70866141732283472" top="0.74803149606299213" bottom="0.74803149606299213" header="0.31496062992125984" footer="0.31496062992125984"/>
  <pageSetup scale="75" orientation="landscape" horizontalDpi="300" verticalDpi="300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"/>
  <sheetViews>
    <sheetView zoomScaleNormal="100" workbookViewId="0">
      <selection activeCell="G18" sqref="G18"/>
    </sheetView>
  </sheetViews>
  <sheetFormatPr baseColWidth="10"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pageSetUpPr fitToPage="1"/>
  </sheetPr>
  <dimension ref="A1:OV77"/>
  <sheetViews>
    <sheetView view="pageBreakPreview" topLeftCell="A7" zoomScale="70" zoomScaleNormal="100" zoomScaleSheetLayoutView="70" workbookViewId="0">
      <selection activeCell="C13" sqref="C13"/>
    </sheetView>
  </sheetViews>
  <sheetFormatPr baseColWidth="10" defaultRowHeight="15"/>
  <cols>
    <col min="1" max="1" width="53.85546875" bestFit="1" customWidth="1"/>
    <col min="2" max="2" width="10.28515625" customWidth="1"/>
    <col min="3" max="3" width="12.5703125" customWidth="1"/>
    <col min="4" max="4" width="14.7109375" bestFit="1" customWidth="1"/>
    <col min="5" max="5" width="11.7109375" customWidth="1"/>
    <col min="6" max="6" width="2" customWidth="1"/>
    <col min="7" max="8" width="11.7109375" customWidth="1"/>
    <col min="9" max="9" width="40.7109375" customWidth="1"/>
  </cols>
  <sheetData>
    <row r="1" spans="1:412" ht="22.5">
      <c r="A1" s="33" t="s">
        <v>21</v>
      </c>
      <c r="B1" s="1"/>
      <c r="C1" s="2"/>
      <c r="D1" s="2"/>
      <c r="E1" s="21"/>
      <c r="F1" s="2"/>
      <c r="G1" s="21"/>
      <c r="H1" s="21"/>
      <c r="I1" s="2"/>
      <c r="K1" s="22"/>
      <c r="AQ1" t="s">
        <v>19</v>
      </c>
      <c r="AR1" s="53" t="s">
        <v>41</v>
      </c>
      <c r="AS1" t="s">
        <v>52</v>
      </c>
    </row>
    <row r="2" spans="1:412" ht="22.5">
      <c r="A2" s="33" t="s">
        <v>4</v>
      </c>
      <c r="B2" s="3"/>
      <c r="C2" s="2"/>
      <c r="D2" s="2"/>
      <c r="E2" s="21"/>
      <c r="F2" s="2"/>
      <c r="G2" s="21"/>
      <c r="H2" s="21"/>
      <c r="I2" s="2"/>
      <c r="K2" s="22"/>
      <c r="AQ2" t="s">
        <v>56</v>
      </c>
      <c r="AR2" s="53" t="s">
        <v>42</v>
      </c>
      <c r="AS2" t="s">
        <v>53</v>
      </c>
    </row>
    <row r="3" spans="1:412" ht="22.5">
      <c r="A3" s="33" t="s">
        <v>59</v>
      </c>
      <c r="B3" s="2"/>
      <c r="C3" s="2"/>
      <c r="D3" s="2"/>
      <c r="E3" s="21"/>
      <c r="F3" s="2"/>
      <c r="G3" s="21"/>
      <c r="H3" s="21"/>
      <c r="I3" s="2"/>
      <c r="K3" s="22"/>
      <c r="N3" s="24"/>
      <c r="AQ3" t="s">
        <v>57</v>
      </c>
      <c r="AR3" s="53" t="s">
        <v>40</v>
      </c>
      <c r="AS3" t="s">
        <v>54</v>
      </c>
    </row>
    <row r="4" spans="1:412" ht="15.75" thickBot="1">
      <c r="A4" s="3"/>
      <c r="B4" s="2"/>
      <c r="C4" s="2"/>
      <c r="D4" s="2"/>
      <c r="E4" s="21"/>
      <c r="F4" s="2"/>
      <c r="G4" s="21"/>
      <c r="H4" s="21"/>
      <c r="I4" s="2"/>
      <c r="K4" s="22"/>
      <c r="N4" s="24"/>
      <c r="AQ4" t="s">
        <v>58</v>
      </c>
      <c r="AR4" s="53" t="s">
        <v>43</v>
      </c>
      <c r="AS4" t="s">
        <v>55</v>
      </c>
    </row>
    <row r="5" spans="1:412">
      <c r="A5" s="69" t="s">
        <v>5</v>
      </c>
      <c r="B5" s="221" t="s">
        <v>6</v>
      </c>
      <c r="C5" s="222"/>
      <c r="D5" s="2"/>
      <c r="E5" s="21"/>
      <c r="F5" s="2"/>
      <c r="G5" s="21"/>
      <c r="H5" s="21"/>
      <c r="I5" s="2"/>
      <c r="K5" s="22"/>
      <c r="R5" s="2"/>
      <c r="AR5" s="53" t="s">
        <v>45</v>
      </c>
    </row>
    <row r="6" spans="1:412" ht="15.75" thickBot="1">
      <c r="A6" s="76">
        <f>caratula!B7</f>
        <v>0</v>
      </c>
      <c r="B6" s="260">
        <f>caratula!C7</f>
        <v>0</v>
      </c>
      <c r="C6" s="261"/>
      <c r="D6" s="2"/>
      <c r="E6" s="21"/>
      <c r="F6" s="2"/>
      <c r="G6" s="21"/>
      <c r="H6" s="21"/>
      <c r="I6" s="2"/>
      <c r="K6" s="22"/>
      <c r="AR6" s="53" t="s">
        <v>46</v>
      </c>
    </row>
    <row r="7" spans="1:412" ht="15.75" thickBot="1">
      <c r="A7" s="4"/>
      <c r="B7" s="5"/>
      <c r="C7" s="5"/>
      <c r="D7" s="2"/>
      <c r="E7" s="21"/>
      <c r="F7" s="2"/>
      <c r="G7" s="21"/>
      <c r="H7" s="21"/>
      <c r="I7" s="2"/>
      <c r="K7" s="22"/>
      <c r="AR7" s="53" t="s">
        <v>47</v>
      </c>
    </row>
    <row r="8" spans="1:412" ht="15.75" thickBot="1">
      <c r="A8" s="73" t="s">
        <v>33</v>
      </c>
      <c r="B8" s="74" t="s">
        <v>15</v>
      </c>
      <c r="C8" s="74" t="s">
        <v>31</v>
      </c>
      <c r="D8" s="2"/>
      <c r="E8" s="21"/>
      <c r="F8" s="2"/>
      <c r="G8" s="21"/>
      <c r="H8" s="21"/>
      <c r="I8" s="2"/>
      <c r="K8" s="22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14" t="s">
        <v>11</v>
      </c>
      <c r="Z8" s="11">
        <f>+Z9*Z10</f>
        <v>0</v>
      </c>
      <c r="AA8" s="2"/>
      <c r="AB8" s="2"/>
      <c r="AR8" s="53" t="s">
        <v>48</v>
      </c>
    </row>
    <row r="9" spans="1:412" ht="16.5" thickBot="1">
      <c r="A9" s="70">
        <f>caratula!B10</f>
        <v>0</v>
      </c>
      <c r="B9" s="195">
        <f>caratula!D7</f>
        <v>0</v>
      </c>
      <c r="C9" s="75">
        <f>caratula!C10</f>
        <v>0</v>
      </c>
      <c r="D9" s="2"/>
      <c r="E9" s="21"/>
      <c r="G9" s="21"/>
      <c r="H9" s="21"/>
      <c r="I9" s="87"/>
      <c r="K9" s="22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Y9" s="13" t="s">
        <v>10</v>
      </c>
      <c r="Z9" s="12">
        <v>0.65</v>
      </c>
      <c r="AA9" s="2"/>
      <c r="AB9" s="2"/>
      <c r="AR9" s="53" t="s">
        <v>49</v>
      </c>
    </row>
    <row r="10" spans="1:412" ht="15.75" thickBot="1">
      <c r="H10" s="21"/>
      <c r="I10" s="2"/>
    </row>
    <row r="11" spans="1:412" ht="37.5" customHeight="1" thickBot="1">
      <c r="A11" s="78" t="s">
        <v>38</v>
      </c>
      <c r="B11" s="78" t="s">
        <v>60</v>
      </c>
      <c r="C11" s="79" t="s">
        <v>106</v>
      </c>
      <c r="D11" s="78" t="s">
        <v>39</v>
      </c>
      <c r="E11" s="78" t="s">
        <v>103</v>
      </c>
      <c r="G11" s="257" t="s">
        <v>113</v>
      </c>
      <c r="H11" s="258"/>
      <c r="I11" s="258"/>
    </row>
    <row r="12" spans="1:412" s="52" customFormat="1" ht="18">
      <c r="A12" s="98"/>
      <c r="B12" s="98"/>
      <c r="C12" s="98"/>
      <c r="D12" s="98"/>
      <c r="E12" s="98"/>
      <c r="F12"/>
      <c r="G12" s="259"/>
      <c r="H12" s="259"/>
      <c r="I12" s="259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  <c r="IK12"/>
      <c r="IL12"/>
      <c r="IM12"/>
      <c r="IN12"/>
      <c r="IO12"/>
      <c r="IP12"/>
      <c r="IQ12"/>
      <c r="IR12"/>
      <c r="IS12"/>
      <c r="IT12"/>
      <c r="IU12"/>
      <c r="IV12"/>
      <c r="IW12"/>
      <c r="IX12"/>
      <c r="IY12"/>
      <c r="IZ12"/>
      <c r="JA12"/>
      <c r="JB12"/>
      <c r="JC12"/>
      <c r="JD12"/>
      <c r="JE12"/>
      <c r="JF12"/>
      <c r="JG12"/>
      <c r="JH12"/>
      <c r="JI12"/>
      <c r="JJ12"/>
      <c r="JK12"/>
      <c r="JL12"/>
      <c r="JM12"/>
      <c r="JN12"/>
      <c r="JO12"/>
      <c r="JP12"/>
      <c r="JQ12"/>
      <c r="JR12"/>
      <c r="JS12"/>
      <c r="JT12"/>
      <c r="JU12"/>
      <c r="JV12"/>
      <c r="JW12"/>
      <c r="JX12"/>
      <c r="JY12"/>
      <c r="JZ12"/>
      <c r="KA12"/>
      <c r="KB12"/>
      <c r="KC12"/>
      <c r="KD12"/>
      <c r="KE12"/>
      <c r="KF12"/>
      <c r="KG12"/>
      <c r="KH12"/>
      <c r="KI12"/>
      <c r="KJ12"/>
      <c r="KK12"/>
      <c r="KL12"/>
      <c r="KM12"/>
      <c r="KN12"/>
      <c r="KO12"/>
      <c r="KP12"/>
      <c r="KQ12"/>
      <c r="KR12"/>
      <c r="KS12"/>
      <c r="KT12"/>
      <c r="KU12"/>
      <c r="KV12"/>
      <c r="KW12"/>
      <c r="KX12"/>
      <c r="KY12"/>
      <c r="KZ12"/>
      <c r="LA12"/>
      <c r="LB12"/>
      <c r="LC12"/>
      <c r="LD12"/>
      <c r="LE12"/>
      <c r="LF12"/>
      <c r="LG12"/>
      <c r="LH12"/>
      <c r="LI12"/>
      <c r="LJ12"/>
      <c r="LK12"/>
      <c r="LL12"/>
      <c r="LM12"/>
      <c r="LN12"/>
      <c r="LO12"/>
      <c r="LP12"/>
      <c r="LQ12"/>
      <c r="LR12"/>
      <c r="LS12"/>
      <c r="LT12"/>
      <c r="LU12"/>
      <c r="LV12"/>
      <c r="LW12"/>
      <c r="LX12"/>
      <c r="LY12"/>
      <c r="LZ12"/>
      <c r="MA12"/>
      <c r="MB12"/>
      <c r="MC12"/>
      <c r="MD12"/>
      <c r="ME12"/>
      <c r="MF12"/>
      <c r="MG12"/>
      <c r="MH12"/>
      <c r="MI12"/>
      <c r="MJ12"/>
      <c r="MK12"/>
      <c r="ML12"/>
      <c r="MM12"/>
      <c r="MN12"/>
      <c r="MO12"/>
      <c r="MP12"/>
      <c r="MQ12"/>
      <c r="MR12"/>
      <c r="MS12"/>
      <c r="MT12"/>
      <c r="MU12"/>
      <c r="MV12"/>
      <c r="MW12"/>
      <c r="MX12"/>
      <c r="MY12"/>
      <c r="MZ12"/>
      <c r="NA12"/>
      <c r="NB12"/>
      <c r="NC12"/>
      <c r="ND12"/>
      <c r="NE12"/>
      <c r="NF12"/>
      <c r="NG12"/>
      <c r="NH12"/>
      <c r="NI12"/>
      <c r="NJ12"/>
      <c r="NK12"/>
      <c r="NL12"/>
      <c r="NM12"/>
      <c r="NN12"/>
      <c r="NO12"/>
      <c r="NP12"/>
      <c r="NQ12"/>
      <c r="NR12"/>
      <c r="NS12"/>
      <c r="NT12"/>
      <c r="NU12"/>
      <c r="NV12"/>
      <c r="NW12"/>
      <c r="NX12"/>
      <c r="NY12"/>
      <c r="NZ12"/>
      <c r="OA12"/>
      <c r="OB12"/>
      <c r="OC12"/>
      <c r="OD12"/>
      <c r="OE12"/>
      <c r="OF12"/>
      <c r="OG12"/>
      <c r="OH12"/>
      <c r="OI12"/>
      <c r="OJ12"/>
      <c r="OK12"/>
      <c r="OL12"/>
      <c r="OM12"/>
      <c r="ON12"/>
      <c r="OO12"/>
      <c r="OP12"/>
      <c r="OQ12"/>
      <c r="OR12"/>
      <c r="OS12"/>
      <c r="OT12"/>
      <c r="OU12"/>
      <c r="OV12"/>
    </row>
    <row r="13" spans="1:412" s="52" customFormat="1" ht="18">
      <c r="A13" s="98"/>
      <c r="B13" s="98"/>
      <c r="C13" s="98"/>
      <c r="D13" s="98"/>
      <c r="E13" s="98"/>
      <c r="F13"/>
      <c r="G13" s="259"/>
      <c r="H13" s="259"/>
      <c r="I13" s="259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  <c r="IR13"/>
      <c r="IS13"/>
      <c r="IT13"/>
      <c r="IU13"/>
      <c r="IV13"/>
      <c r="IW13"/>
      <c r="IX13"/>
      <c r="IY13"/>
      <c r="IZ13"/>
      <c r="JA13"/>
      <c r="JB13"/>
      <c r="JC13"/>
      <c r="JD13"/>
      <c r="JE13"/>
      <c r="JF13"/>
      <c r="JG13"/>
      <c r="JH13"/>
      <c r="JI13"/>
      <c r="JJ13"/>
      <c r="JK13"/>
      <c r="JL13"/>
      <c r="JM13"/>
      <c r="JN13"/>
      <c r="JO13"/>
      <c r="JP13"/>
      <c r="JQ13"/>
      <c r="JR13"/>
      <c r="JS13"/>
      <c r="JT13"/>
      <c r="JU13"/>
      <c r="JV13"/>
      <c r="JW13"/>
      <c r="JX13"/>
      <c r="JY13"/>
      <c r="JZ13"/>
      <c r="KA13"/>
      <c r="KB13"/>
      <c r="KC13"/>
      <c r="KD13"/>
      <c r="KE13"/>
      <c r="KF13"/>
      <c r="KG13"/>
      <c r="KH13"/>
      <c r="KI13"/>
      <c r="KJ13"/>
      <c r="KK13"/>
      <c r="KL13"/>
      <c r="KM13"/>
      <c r="KN13"/>
      <c r="KO13"/>
      <c r="KP13"/>
      <c r="KQ13"/>
      <c r="KR13"/>
      <c r="KS13"/>
      <c r="KT13"/>
      <c r="KU13"/>
      <c r="KV13"/>
      <c r="KW13"/>
      <c r="KX13"/>
      <c r="KY13"/>
      <c r="KZ13"/>
      <c r="LA13"/>
      <c r="LB13"/>
      <c r="LC13"/>
      <c r="LD13"/>
      <c r="LE13"/>
      <c r="LF13"/>
      <c r="LG13"/>
      <c r="LH13"/>
      <c r="LI13"/>
      <c r="LJ13"/>
      <c r="LK13"/>
      <c r="LL13"/>
      <c r="LM13"/>
      <c r="LN13"/>
      <c r="LO13"/>
      <c r="LP13"/>
      <c r="LQ13"/>
      <c r="LR13"/>
      <c r="LS13"/>
      <c r="LT13"/>
      <c r="LU13"/>
      <c r="LV13"/>
      <c r="LW13"/>
      <c r="LX13"/>
      <c r="LY13"/>
      <c r="LZ13"/>
      <c r="MA13"/>
      <c r="MB13"/>
      <c r="MC13"/>
      <c r="MD13"/>
      <c r="ME13"/>
      <c r="MF13"/>
      <c r="MG13"/>
      <c r="MH13"/>
      <c r="MI13"/>
      <c r="MJ13"/>
      <c r="MK13"/>
      <c r="ML13"/>
      <c r="MM13"/>
      <c r="MN13"/>
      <c r="MO13"/>
      <c r="MP13"/>
      <c r="MQ13"/>
      <c r="MR13"/>
      <c r="MS13"/>
      <c r="MT13"/>
      <c r="MU13"/>
      <c r="MV13"/>
      <c r="MW13"/>
      <c r="MX13"/>
      <c r="MY13"/>
      <c r="MZ13"/>
      <c r="NA13"/>
      <c r="NB13"/>
      <c r="NC13"/>
      <c r="ND13"/>
      <c r="NE13"/>
      <c r="NF13"/>
      <c r="NG13"/>
      <c r="NH13"/>
      <c r="NI13"/>
      <c r="NJ13"/>
      <c r="NK13"/>
      <c r="NL13"/>
      <c r="NM13"/>
      <c r="NN13"/>
      <c r="NO13"/>
      <c r="NP13"/>
      <c r="NQ13"/>
      <c r="NR13"/>
      <c r="NS13"/>
      <c r="NT13"/>
      <c r="NU13"/>
      <c r="NV13"/>
      <c r="NW13"/>
      <c r="NX13"/>
      <c r="NY13"/>
      <c r="NZ13"/>
      <c r="OA13"/>
      <c r="OB13"/>
      <c r="OC13"/>
      <c r="OD13"/>
      <c r="OE13"/>
      <c r="OF13"/>
      <c r="OG13"/>
      <c r="OH13"/>
      <c r="OI13"/>
      <c r="OJ13"/>
      <c r="OK13"/>
      <c r="OL13"/>
      <c r="OM13"/>
      <c r="ON13"/>
      <c r="OO13"/>
      <c r="OP13"/>
      <c r="OQ13"/>
      <c r="OR13"/>
      <c r="OS13"/>
      <c r="OT13"/>
      <c r="OU13"/>
      <c r="OV13"/>
    </row>
    <row r="14" spans="1:412" s="52" customFormat="1" ht="18">
      <c r="A14" s="98"/>
      <c r="B14" s="98"/>
      <c r="C14" s="98"/>
      <c r="D14" s="98"/>
      <c r="E14" s="98"/>
      <c r="F14"/>
      <c r="G14" s="259"/>
      <c r="H14" s="259"/>
      <c r="I14" s="259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  <c r="HB14"/>
      <c r="HC14"/>
      <c r="HD14"/>
      <c r="HE14"/>
      <c r="HF14"/>
      <c r="HG14"/>
      <c r="HH14"/>
      <c r="HI14"/>
      <c r="HJ14"/>
      <c r="HK14"/>
      <c r="HL14"/>
      <c r="HM14"/>
      <c r="HN14"/>
      <c r="HO14"/>
      <c r="HP14"/>
      <c r="HQ14"/>
      <c r="HR14"/>
      <c r="HS14"/>
      <c r="HT14"/>
      <c r="HU14"/>
      <c r="HV14"/>
      <c r="HW14"/>
      <c r="HX14"/>
      <c r="HY14"/>
      <c r="HZ14"/>
      <c r="IA14"/>
      <c r="IB14"/>
      <c r="IC14"/>
      <c r="ID14"/>
      <c r="IE14"/>
      <c r="IF14"/>
      <c r="IG14"/>
      <c r="IH14"/>
      <c r="II14"/>
      <c r="IJ14"/>
      <c r="IK14"/>
      <c r="IL14"/>
      <c r="IM14"/>
      <c r="IN14"/>
      <c r="IO14"/>
      <c r="IP14"/>
      <c r="IQ14"/>
      <c r="IR14"/>
      <c r="IS14"/>
      <c r="IT14"/>
      <c r="IU14"/>
      <c r="IV14"/>
      <c r="IW14"/>
      <c r="IX14"/>
      <c r="IY14"/>
      <c r="IZ14"/>
      <c r="JA14"/>
      <c r="JB14"/>
      <c r="JC14"/>
      <c r="JD14"/>
      <c r="JE14"/>
      <c r="JF14"/>
      <c r="JG14"/>
      <c r="JH14"/>
      <c r="JI14"/>
      <c r="JJ14"/>
      <c r="JK14"/>
      <c r="JL14"/>
      <c r="JM14"/>
      <c r="JN14"/>
      <c r="JO14"/>
      <c r="JP14"/>
      <c r="JQ14"/>
      <c r="JR14"/>
      <c r="JS14"/>
      <c r="JT14"/>
      <c r="JU14"/>
      <c r="JV14"/>
      <c r="JW14"/>
      <c r="JX14"/>
      <c r="JY14"/>
      <c r="JZ14"/>
      <c r="KA14"/>
      <c r="KB14"/>
      <c r="KC14"/>
      <c r="KD14"/>
      <c r="KE14"/>
      <c r="KF14"/>
      <c r="KG14"/>
      <c r="KH14"/>
      <c r="KI14"/>
      <c r="KJ14"/>
      <c r="KK14"/>
      <c r="KL14"/>
      <c r="KM14"/>
      <c r="KN14"/>
      <c r="KO14"/>
      <c r="KP14"/>
      <c r="KQ14"/>
      <c r="KR14"/>
      <c r="KS14"/>
      <c r="KT14"/>
      <c r="KU14"/>
      <c r="KV14"/>
      <c r="KW14"/>
      <c r="KX14"/>
      <c r="KY14"/>
      <c r="KZ14"/>
      <c r="LA14"/>
      <c r="LB14"/>
      <c r="LC14"/>
      <c r="LD14"/>
      <c r="LE14"/>
      <c r="LF14"/>
      <c r="LG14"/>
      <c r="LH14"/>
      <c r="LI14"/>
      <c r="LJ14"/>
      <c r="LK14"/>
      <c r="LL14"/>
      <c r="LM14"/>
      <c r="LN14"/>
      <c r="LO14"/>
      <c r="LP14"/>
      <c r="LQ14"/>
      <c r="LR14"/>
      <c r="LS14"/>
      <c r="LT14"/>
      <c r="LU14"/>
      <c r="LV14"/>
      <c r="LW14"/>
      <c r="LX14"/>
      <c r="LY14"/>
      <c r="LZ14"/>
      <c r="MA14"/>
      <c r="MB14"/>
      <c r="MC14"/>
      <c r="MD14"/>
      <c r="ME14"/>
      <c r="MF14"/>
      <c r="MG14"/>
      <c r="MH14"/>
      <c r="MI14"/>
      <c r="MJ14"/>
      <c r="MK14"/>
      <c r="ML14"/>
      <c r="MM14"/>
      <c r="MN14"/>
      <c r="MO14"/>
      <c r="MP14"/>
      <c r="MQ14"/>
      <c r="MR14"/>
      <c r="MS14"/>
      <c r="MT14"/>
      <c r="MU14"/>
      <c r="MV14"/>
      <c r="MW14"/>
      <c r="MX14"/>
      <c r="MY14"/>
      <c r="MZ14"/>
      <c r="NA14"/>
      <c r="NB14"/>
      <c r="NC14"/>
      <c r="ND14"/>
      <c r="NE14"/>
      <c r="NF14"/>
      <c r="NG14"/>
      <c r="NH14"/>
      <c r="NI14"/>
      <c r="NJ14"/>
      <c r="NK14"/>
      <c r="NL14"/>
      <c r="NM14"/>
      <c r="NN14"/>
      <c r="NO14"/>
      <c r="NP14"/>
      <c r="NQ14"/>
      <c r="NR14"/>
      <c r="NS14"/>
      <c r="NT14"/>
      <c r="NU14"/>
      <c r="NV14"/>
      <c r="NW14"/>
      <c r="NX14"/>
      <c r="NY14"/>
      <c r="NZ14"/>
      <c r="OA14"/>
      <c r="OB14"/>
      <c r="OC14"/>
      <c r="OD14"/>
      <c r="OE14"/>
      <c r="OF14"/>
      <c r="OG14"/>
      <c r="OH14"/>
      <c r="OI14"/>
      <c r="OJ14"/>
      <c r="OK14"/>
      <c r="OL14"/>
      <c r="OM14"/>
      <c r="ON14"/>
      <c r="OO14"/>
      <c r="OP14"/>
      <c r="OQ14"/>
      <c r="OR14"/>
      <c r="OS14"/>
      <c r="OT14"/>
      <c r="OU14"/>
      <c r="OV14"/>
    </row>
    <row r="15" spans="1:412" s="52" customFormat="1" ht="18">
      <c r="A15" s="98"/>
      <c r="B15" s="98"/>
      <c r="C15" s="98"/>
      <c r="D15" s="98"/>
      <c r="E15" s="98"/>
      <c r="F15"/>
      <c r="G15" s="259"/>
      <c r="H15" s="259"/>
      <c r="I15" s="259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  <c r="IW15"/>
      <c r="IX15"/>
      <c r="IY15"/>
      <c r="IZ15"/>
      <c r="JA15"/>
      <c r="JB15"/>
      <c r="JC15"/>
      <c r="JD15"/>
      <c r="JE15"/>
      <c r="JF15"/>
      <c r="JG15"/>
      <c r="JH15"/>
      <c r="JI15"/>
      <c r="JJ15"/>
      <c r="JK15"/>
      <c r="JL15"/>
      <c r="JM15"/>
      <c r="JN15"/>
      <c r="JO15"/>
      <c r="JP15"/>
      <c r="JQ15"/>
      <c r="JR15"/>
      <c r="JS15"/>
      <c r="JT15"/>
      <c r="JU15"/>
      <c r="JV15"/>
      <c r="JW15"/>
      <c r="JX15"/>
      <c r="JY15"/>
      <c r="JZ15"/>
      <c r="KA15"/>
      <c r="KB15"/>
      <c r="KC15"/>
      <c r="KD15"/>
      <c r="KE15"/>
      <c r="KF15"/>
      <c r="KG15"/>
      <c r="KH15"/>
      <c r="KI15"/>
      <c r="KJ15"/>
      <c r="KK15"/>
      <c r="KL15"/>
      <c r="KM15"/>
      <c r="KN15"/>
      <c r="KO15"/>
      <c r="KP15"/>
      <c r="KQ15"/>
      <c r="KR15"/>
      <c r="KS15"/>
      <c r="KT15"/>
      <c r="KU15"/>
      <c r="KV15"/>
      <c r="KW15"/>
      <c r="KX15"/>
      <c r="KY15"/>
      <c r="KZ15"/>
      <c r="LA15"/>
      <c r="LB15"/>
      <c r="LC15"/>
      <c r="LD15"/>
      <c r="LE15"/>
      <c r="LF15"/>
      <c r="LG15"/>
      <c r="LH15"/>
      <c r="LI15"/>
      <c r="LJ15"/>
      <c r="LK15"/>
      <c r="LL15"/>
      <c r="LM15"/>
      <c r="LN15"/>
      <c r="LO15"/>
      <c r="LP15"/>
      <c r="LQ15"/>
      <c r="LR15"/>
      <c r="LS15"/>
      <c r="LT15"/>
      <c r="LU15"/>
      <c r="LV15"/>
      <c r="LW15"/>
      <c r="LX15"/>
      <c r="LY15"/>
      <c r="LZ15"/>
      <c r="MA15"/>
      <c r="MB15"/>
      <c r="MC15"/>
      <c r="MD15"/>
      <c r="ME15"/>
      <c r="MF15"/>
      <c r="MG15"/>
      <c r="MH15"/>
      <c r="MI15"/>
      <c r="MJ15"/>
      <c r="MK15"/>
      <c r="ML15"/>
      <c r="MM15"/>
      <c r="MN15"/>
      <c r="MO15"/>
      <c r="MP15"/>
      <c r="MQ15"/>
      <c r="MR15"/>
      <c r="MS15"/>
      <c r="MT15"/>
      <c r="MU15"/>
      <c r="MV15"/>
      <c r="MW15"/>
      <c r="MX15"/>
      <c r="MY15"/>
      <c r="MZ15"/>
      <c r="NA15"/>
      <c r="NB15"/>
      <c r="NC15"/>
      <c r="ND15"/>
      <c r="NE15"/>
      <c r="NF15"/>
      <c r="NG15"/>
      <c r="NH15"/>
      <c r="NI15"/>
      <c r="NJ15"/>
      <c r="NK15"/>
      <c r="NL15"/>
      <c r="NM15"/>
      <c r="NN15"/>
      <c r="NO15"/>
      <c r="NP15"/>
      <c r="NQ15"/>
      <c r="NR15"/>
      <c r="NS15"/>
      <c r="NT15"/>
      <c r="NU15"/>
      <c r="NV15"/>
      <c r="NW15"/>
      <c r="NX15"/>
      <c r="NY15"/>
      <c r="NZ15"/>
      <c r="OA15"/>
      <c r="OB15"/>
      <c r="OC15"/>
      <c r="OD15"/>
      <c r="OE15"/>
      <c r="OF15"/>
      <c r="OG15"/>
      <c r="OH15"/>
      <c r="OI15"/>
      <c r="OJ15"/>
      <c r="OK15"/>
      <c r="OL15"/>
      <c r="OM15"/>
      <c r="ON15"/>
      <c r="OO15"/>
      <c r="OP15"/>
      <c r="OQ15"/>
      <c r="OR15"/>
      <c r="OS15"/>
      <c r="OT15"/>
      <c r="OU15"/>
      <c r="OV15"/>
    </row>
    <row r="16" spans="1:412" s="52" customFormat="1" ht="18">
      <c r="A16" s="98"/>
      <c r="B16" s="98"/>
      <c r="C16" s="98"/>
      <c r="D16" s="98"/>
      <c r="E16" s="98"/>
      <c r="F16"/>
      <c r="G16" s="259"/>
      <c r="H16" s="259"/>
      <c r="I16" s="259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Y16"/>
      <c r="HZ16"/>
      <c r="IA16"/>
      <c r="IB16"/>
      <c r="IC16"/>
      <c r="ID16"/>
      <c r="IE16"/>
      <c r="IF16"/>
      <c r="IG16"/>
      <c r="IH16"/>
      <c r="II16"/>
      <c r="IJ16"/>
      <c r="IK16"/>
      <c r="IL16"/>
      <c r="IM16"/>
      <c r="IN16"/>
      <c r="IO16"/>
      <c r="IP16"/>
      <c r="IQ16"/>
      <c r="IR16"/>
      <c r="IS16"/>
      <c r="IT16"/>
      <c r="IU16"/>
      <c r="IV16"/>
      <c r="IW16"/>
      <c r="IX16"/>
      <c r="IY16"/>
      <c r="IZ16"/>
      <c r="JA16"/>
      <c r="JB16"/>
      <c r="JC16"/>
      <c r="JD16"/>
      <c r="JE16"/>
      <c r="JF16"/>
      <c r="JG16"/>
      <c r="JH16"/>
      <c r="JI16"/>
      <c r="JJ16"/>
      <c r="JK16"/>
      <c r="JL16"/>
      <c r="JM16"/>
      <c r="JN16"/>
      <c r="JO16"/>
      <c r="JP16"/>
      <c r="JQ16"/>
      <c r="JR16"/>
      <c r="JS16"/>
      <c r="JT16"/>
      <c r="JU16"/>
      <c r="JV16"/>
      <c r="JW16"/>
      <c r="JX16"/>
      <c r="JY16"/>
      <c r="JZ16"/>
      <c r="KA16"/>
      <c r="KB16"/>
      <c r="KC16"/>
      <c r="KD16"/>
      <c r="KE16"/>
      <c r="KF16"/>
      <c r="KG16"/>
      <c r="KH16"/>
      <c r="KI16"/>
      <c r="KJ16"/>
      <c r="KK16"/>
      <c r="KL16"/>
      <c r="KM16"/>
      <c r="KN16"/>
      <c r="KO16"/>
      <c r="KP16"/>
      <c r="KQ16"/>
      <c r="KR16"/>
      <c r="KS16"/>
      <c r="KT16"/>
      <c r="KU16"/>
      <c r="KV16"/>
      <c r="KW16"/>
      <c r="KX16"/>
      <c r="KY16"/>
      <c r="KZ16"/>
      <c r="LA16"/>
      <c r="LB16"/>
      <c r="LC16"/>
      <c r="LD16"/>
      <c r="LE16"/>
      <c r="LF16"/>
      <c r="LG16"/>
      <c r="LH16"/>
      <c r="LI16"/>
      <c r="LJ16"/>
      <c r="LK16"/>
      <c r="LL16"/>
      <c r="LM16"/>
      <c r="LN16"/>
      <c r="LO16"/>
      <c r="LP16"/>
      <c r="LQ16"/>
      <c r="LR16"/>
      <c r="LS16"/>
      <c r="LT16"/>
      <c r="LU16"/>
      <c r="LV16"/>
      <c r="LW16"/>
      <c r="LX16"/>
      <c r="LY16"/>
      <c r="LZ16"/>
      <c r="MA16"/>
      <c r="MB16"/>
      <c r="MC16"/>
      <c r="MD16"/>
      <c r="ME16"/>
      <c r="MF16"/>
      <c r="MG16"/>
      <c r="MH16"/>
      <c r="MI16"/>
      <c r="MJ16"/>
      <c r="MK16"/>
      <c r="ML16"/>
      <c r="MM16"/>
      <c r="MN16"/>
      <c r="MO16"/>
      <c r="MP16"/>
      <c r="MQ16"/>
      <c r="MR16"/>
      <c r="MS16"/>
      <c r="MT16"/>
      <c r="MU16"/>
      <c r="MV16"/>
      <c r="MW16"/>
      <c r="MX16"/>
      <c r="MY16"/>
      <c r="MZ16"/>
      <c r="NA16"/>
      <c r="NB16"/>
      <c r="NC16"/>
      <c r="ND16"/>
      <c r="NE16"/>
      <c r="NF16"/>
      <c r="NG16"/>
      <c r="NH16"/>
      <c r="NI16"/>
      <c r="NJ16"/>
      <c r="NK16"/>
      <c r="NL16"/>
      <c r="NM16"/>
      <c r="NN16"/>
      <c r="NO16"/>
      <c r="NP16"/>
      <c r="NQ16"/>
      <c r="NR16"/>
      <c r="NS16"/>
      <c r="NT16"/>
      <c r="NU16"/>
      <c r="NV16"/>
      <c r="NW16"/>
      <c r="NX16"/>
      <c r="NY16"/>
      <c r="NZ16"/>
      <c r="OA16"/>
      <c r="OB16"/>
      <c r="OC16"/>
      <c r="OD16"/>
      <c r="OE16"/>
      <c r="OF16"/>
      <c r="OG16"/>
      <c r="OH16"/>
      <c r="OI16"/>
      <c r="OJ16"/>
      <c r="OK16"/>
      <c r="OL16"/>
      <c r="OM16"/>
      <c r="ON16"/>
      <c r="OO16"/>
      <c r="OP16"/>
      <c r="OQ16"/>
      <c r="OR16"/>
      <c r="OS16"/>
      <c r="OT16"/>
      <c r="OU16"/>
      <c r="OV16"/>
    </row>
    <row r="17" spans="1:412" s="52" customFormat="1" ht="18">
      <c r="A17" s="98"/>
      <c r="B17" s="98"/>
      <c r="C17" s="98"/>
      <c r="D17" s="98"/>
      <c r="E17" s="98"/>
      <c r="F17"/>
      <c r="G17" s="259"/>
      <c r="H17" s="259"/>
      <c r="I17" s="259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  <c r="HB17"/>
      <c r="HC17"/>
      <c r="HD17"/>
      <c r="HE17"/>
      <c r="HF17"/>
      <c r="HG17"/>
      <c r="HH17"/>
      <c r="HI17"/>
      <c r="HJ17"/>
      <c r="HK17"/>
      <c r="HL17"/>
      <c r="HM17"/>
      <c r="HN17"/>
      <c r="HO17"/>
      <c r="HP17"/>
      <c r="HQ17"/>
      <c r="HR17"/>
      <c r="HS17"/>
      <c r="HT17"/>
      <c r="HU17"/>
      <c r="HV17"/>
      <c r="HW17"/>
      <c r="HX17"/>
      <c r="HY17"/>
      <c r="HZ17"/>
      <c r="IA17"/>
      <c r="IB17"/>
      <c r="IC17"/>
      <c r="ID17"/>
      <c r="IE17"/>
      <c r="IF17"/>
      <c r="IG17"/>
      <c r="IH17"/>
      <c r="II17"/>
      <c r="IJ17"/>
      <c r="IK17"/>
      <c r="IL17"/>
      <c r="IM17"/>
      <c r="IN17"/>
      <c r="IO17"/>
      <c r="IP17"/>
      <c r="IQ17"/>
      <c r="IR17"/>
      <c r="IS17"/>
      <c r="IT17"/>
      <c r="IU17"/>
      <c r="IV17"/>
      <c r="IW17"/>
      <c r="IX17"/>
      <c r="IY17"/>
      <c r="IZ17"/>
      <c r="JA17"/>
      <c r="JB17"/>
      <c r="JC17"/>
      <c r="JD17"/>
      <c r="JE17"/>
      <c r="JF17"/>
      <c r="JG17"/>
      <c r="JH17"/>
      <c r="JI17"/>
      <c r="JJ17"/>
      <c r="JK17"/>
      <c r="JL17"/>
      <c r="JM17"/>
      <c r="JN17"/>
      <c r="JO17"/>
      <c r="JP17"/>
      <c r="JQ17"/>
      <c r="JR17"/>
      <c r="JS17"/>
      <c r="JT17"/>
      <c r="JU17"/>
      <c r="JV17"/>
      <c r="JW17"/>
      <c r="JX17"/>
      <c r="JY17"/>
      <c r="JZ17"/>
      <c r="KA17"/>
      <c r="KB17"/>
      <c r="KC17"/>
      <c r="KD17"/>
      <c r="KE17"/>
      <c r="KF17"/>
      <c r="KG17"/>
      <c r="KH17"/>
      <c r="KI17"/>
      <c r="KJ17"/>
      <c r="KK17"/>
      <c r="KL17"/>
      <c r="KM17"/>
      <c r="KN17"/>
      <c r="KO17"/>
      <c r="KP17"/>
      <c r="KQ17"/>
      <c r="KR17"/>
      <c r="KS17"/>
      <c r="KT17"/>
      <c r="KU17"/>
      <c r="KV17"/>
      <c r="KW17"/>
      <c r="KX17"/>
      <c r="KY17"/>
      <c r="KZ17"/>
      <c r="LA17"/>
      <c r="LB17"/>
      <c r="LC17"/>
      <c r="LD17"/>
      <c r="LE17"/>
      <c r="LF17"/>
      <c r="LG17"/>
      <c r="LH17"/>
      <c r="LI17"/>
      <c r="LJ17"/>
      <c r="LK17"/>
      <c r="LL17"/>
      <c r="LM17"/>
      <c r="LN17"/>
      <c r="LO17"/>
      <c r="LP17"/>
      <c r="LQ17"/>
      <c r="LR17"/>
      <c r="LS17"/>
      <c r="LT17"/>
      <c r="LU17"/>
      <c r="LV17"/>
      <c r="LW17"/>
      <c r="LX17"/>
      <c r="LY17"/>
      <c r="LZ17"/>
      <c r="MA17"/>
      <c r="MB17"/>
      <c r="MC17"/>
      <c r="MD17"/>
      <c r="ME17"/>
      <c r="MF17"/>
      <c r="MG17"/>
      <c r="MH17"/>
      <c r="MI17"/>
      <c r="MJ17"/>
      <c r="MK17"/>
      <c r="ML17"/>
      <c r="MM17"/>
      <c r="MN17"/>
      <c r="MO17"/>
      <c r="MP17"/>
      <c r="MQ17"/>
      <c r="MR17"/>
      <c r="MS17"/>
      <c r="MT17"/>
      <c r="MU17"/>
      <c r="MV17"/>
      <c r="MW17"/>
      <c r="MX17"/>
      <c r="MY17"/>
      <c r="MZ17"/>
      <c r="NA17"/>
      <c r="NB17"/>
      <c r="NC17"/>
      <c r="ND17"/>
      <c r="NE17"/>
      <c r="NF17"/>
      <c r="NG17"/>
      <c r="NH17"/>
      <c r="NI17"/>
      <c r="NJ17"/>
      <c r="NK17"/>
      <c r="NL17"/>
      <c r="NM17"/>
      <c r="NN17"/>
      <c r="NO17"/>
      <c r="NP17"/>
      <c r="NQ17"/>
      <c r="NR17"/>
      <c r="NS17"/>
      <c r="NT17"/>
      <c r="NU17"/>
      <c r="NV17"/>
      <c r="NW17"/>
      <c r="NX17"/>
      <c r="NY17"/>
      <c r="NZ17"/>
      <c r="OA17"/>
      <c r="OB17"/>
      <c r="OC17"/>
      <c r="OD17"/>
      <c r="OE17"/>
      <c r="OF17"/>
      <c r="OG17"/>
      <c r="OH17"/>
      <c r="OI17"/>
      <c r="OJ17"/>
      <c r="OK17"/>
      <c r="OL17"/>
      <c r="OM17"/>
      <c r="ON17"/>
      <c r="OO17"/>
      <c r="OP17"/>
      <c r="OQ17"/>
      <c r="OR17"/>
      <c r="OS17"/>
      <c r="OT17"/>
      <c r="OU17"/>
      <c r="OV17"/>
    </row>
    <row r="18" spans="1:412" s="52" customFormat="1" ht="18">
      <c r="A18" s="98"/>
      <c r="B18" s="98"/>
      <c r="C18" s="98"/>
      <c r="D18" s="98"/>
      <c r="E18" s="98"/>
      <c r="F18"/>
      <c r="G18" s="259"/>
      <c r="H18" s="259"/>
      <c r="I18" s="259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Y18"/>
      <c r="HZ18"/>
      <c r="IA18"/>
      <c r="IB18"/>
      <c r="IC18"/>
      <c r="ID18"/>
      <c r="IE18"/>
      <c r="IF18"/>
      <c r="IG18"/>
      <c r="IH18"/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  <c r="IW18"/>
      <c r="IX18"/>
      <c r="IY18"/>
      <c r="IZ18"/>
      <c r="JA18"/>
      <c r="JB18"/>
      <c r="JC18"/>
      <c r="JD18"/>
      <c r="JE18"/>
      <c r="JF18"/>
      <c r="JG18"/>
      <c r="JH18"/>
      <c r="JI18"/>
      <c r="JJ18"/>
      <c r="JK18"/>
      <c r="JL18"/>
      <c r="JM18"/>
      <c r="JN18"/>
      <c r="JO18"/>
      <c r="JP18"/>
      <c r="JQ18"/>
      <c r="JR18"/>
      <c r="JS18"/>
      <c r="JT18"/>
      <c r="JU18"/>
      <c r="JV18"/>
      <c r="JW18"/>
      <c r="JX18"/>
      <c r="JY18"/>
      <c r="JZ18"/>
      <c r="KA18"/>
      <c r="KB18"/>
      <c r="KC18"/>
      <c r="KD18"/>
      <c r="KE18"/>
      <c r="KF18"/>
      <c r="KG18"/>
      <c r="KH18"/>
      <c r="KI18"/>
      <c r="KJ18"/>
      <c r="KK18"/>
      <c r="KL18"/>
      <c r="KM18"/>
      <c r="KN18"/>
      <c r="KO18"/>
      <c r="KP18"/>
      <c r="KQ18"/>
      <c r="KR18"/>
      <c r="KS18"/>
      <c r="KT18"/>
      <c r="KU18"/>
      <c r="KV18"/>
      <c r="KW18"/>
      <c r="KX18"/>
      <c r="KY18"/>
      <c r="KZ18"/>
      <c r="LA18"/>
      <c r="LB18"/>
      <c r="LC18"/>
      <c r="LD18"/>
      <c r="LE18"/>
      <c r="LF18"/>
      <c r="LG18"/>
      <c r="LH18"/>
      <c r="LI18"/>
      <c r="LJ18"/>
      <c r="LK18"/>
      <c r="LL18"/>
      <c r="LM18"/>
      <c r="LN18"/>
      <c r="LO18"/>
      <c r="LP18"/>
      <c r="LQ18"/>
      <c r="LR18"/>
      <c r="LS18"/>
      <c r="LT18"/>
      <c r="LU18"/>
      <c r="LV18"/>
      <c r="LW18"/>
      <c r="LX18"/>
      <c r="LY18"/>
      <c r="LZ18"/>
      <c r="MA18"/>
      <c r="MB18"/>
      <c r="MC18"/>
      <c r="MD18"/>
      <c r="ME18"/>
      <c r="MF18"/>
      <c r="MG18"/>
      <c r="MH18"/>
      <c r="MI18"/>
      <c r="MJ18"/>
      <c r="MK18"/>
      <c r="ML18"/>
      <c r="MM18"/>
      <c r="MN18"/>
      <c r="MO18"/>
      <c r="MP18"/>
      <c r="MQ18"/>
      <c r="MR18"/>
      <c r="MS18"/>
      <c r="MT18"/>
      <c r="MU18"/>
      <c r="MV18"/>
      <c r="MW18"/>
      <c r="MX18"/>
      <c r="MY18"/>
      <c r="MZ18"/>
      <c r="NA18"/>
      <c r="NB18"/>
      <c r="NC18"/>
      <c r="ND18"/>
      <c r="NE18"/>
      <c r="NF18"/>
      <c r="NG18"/>
      <c r="NH18"/>
      <c r="NI18"/>
      <c r="NJ18"/>
      <c r="NK18"/>
      <c r="NL18"/>
      <c r="NM18"/>
      <c r="NN18"/>
      <c r="NO18"/>
      <c r="NP18"/>
      <c r="NQ18"/>
      <c r="NR18"/>
      <c r="NS18"/>
      <c r="NT18"/>
      <c r="NU18"/>
      <c r="NV18"/>
      <c r="NW18"/>
      <c r="NX18"/>
      <c r="NY18"/>
      <c r="NZ18"/>
      <c r="OA18"/>
      <c r="OB18"/>
      <c r="OC18"/>
      <c r="OD18"/>
      <c r="OE18"/>
      <c r="OF18"/>
      <c r="OG18"/>
      <c r="OH18"/>
      <c r="OI18"/>
      <c r="OJ18"/>
      <c r="OK18"/>
      <c r="OL18"/>
      <c r="OM18"/>
      <c r="ON18"/>
      <c r="OO18"/>
      <c r="OP18"/>
      <c r="OQ18"/>
      <c r="OR18"/>
      <c r="OS18"/>
      <c r="OT18"/>
      <c r="OU18"/>
      <c r="OV18"/>
    </row>
    <row r="19" spans="1:412" s="52" customFormat="1" ht="18">
      <c r="A19" s="98"/>
      <c r="B19" s="98"/>
      <c r="C19" s="98"/>
      <c r="D19" s="98"/>
      <c r="E19" s="98"/>
      <c r="F19"/>
      <c r="G19" s="259"/>
      <c r="H19" s="259"/>
      <c r="I19" s="25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G19"/>
      <c r="JH19"/>
      <c r="JI19"/>
      <c r="JJ19"/>
      <c r="JK19"/>
      <c r="JL19"/>
      <c r="JM19"/>
      <c r="JN19"/>
      <c r="JO19"/>
      <c r="JP19"/>
      <c r="JQ19"/>
      <c r="JR19"/>
      <c r="JS19"/>
      <c r="JT19"/>
      <c r="JU19"/>
      <c r="JV19"/>
      <c r="JW19"/>
      <c r="JX19"/>
      <c r="JY19"/>
      <c r="JZ19"/>
      <c r="KA19"/>
      <c r="KB19"/>
      <c r="KC19"/>
      <c r="KD19"/>
      <c r="KE19"/>
      <c r="KF19"/>
      <c r="KG19"/>
      <c r="KH19"/>
      <c r="KI19"/>
      <c r="KJ19"/>
      <c r="KK19"/>
      <c r="KL19"/>
      <c r="KM19"/>
      <c r="KN19"/>
      <c r="KO19"/>
      <c r="KP19"/>
      <c r="KQ19"/>
      <c r="KR19"/>
      <c r="KS19"/>
      <c r="KT19"/>
      <c r="KU19"/>
      <c r="KV19"/>
      <c r="KW19"/>
      <c r="KX19"/>
      <c r="KY19"/>
      <c r="KZ19"/>
      <c r="LA19"/>
      <c r="LB19"/>
      <c r="LC19"/>
      <c r="LD19"/>
      <c r="LE19"/>
      <c r="LF19"/>
      <c r="LG19"/>
      <c r="LH19"/>
      <c r="LI19"/>
      <c r="LJ19"/>
      <c r="LK19"/>
      <c r="LL19"/>
      <c r="LM19"/>
      <c r="LN19"/>
      <c r="LO19"/>
      <c r="LP19"/>
      <c r="LQ19"/>
      <c r="LR19"/>
      <c r="LS19"/>
      <c r="LT19"/>
      <c r="LU19"/>
      <c r="LV19"/>
      <c r="LW19"/>
      <c r="LX19"/>
      <c r="LY19"/>
      <c r="LZ19"/>
      <c r="MA19"/>
      <c r="MB19"/>
      <c r="MC19"/>
      <c r="MD19"/>
      <c r="ME19"/>
      <c r="MF19"/>
      <c r="MG19"/>
      <c r="MH19"/>
      <c r="MI19"/>
      <c r="MJ19"/>
      <c r="MK19"/>
      <c r="ML19"/>
      <c r="MM19"/>
      <c r="MN19"/>
      <c r="MO19"/>
      <c r="MP19"/>
      <c r="MQ19"/>
      <c r="MR19"/>
      <c r="MS19"/>
      <c r="MT19"/>
      <c r="MU19"/>
      <c r="MV19"/>
      <c r="MW19"/>
      <c r="MX19"/>
      <c r="MY19"/>
      <c r="MZ19"/>
      <c r="NA19"/>
      <c r="NB19"/>
      <c r="NC19"/>
      <c r="ND19"/>
      <c r="NE19"/>
      <c r="NF19"/>
      <c r="NG19"/>
      <c r="NH19"/>
      <c r="NI19"/>
      <c r="NJ19"/>
      <c r="NK19"/>
      <c r="NL19"/>
      <c r="NM19"/>
      <c r="NN19"/>
      <c r="NO19"/>
      <c r="NP19"/>
      <c r="NQ19"/>
      <c r="NR19"/>
      <c r="NS19"/>
      <c r="NT19"/>
      <c r="NU19"/>
      <c r="NV19"/>
      <c r="NW19"/>
      <c r="NX19"/>
      <c r="NY19"/>
      <c r="NZ19"/>
      <c r="OA19"/>
      <c r="OB19"/>
      <c r="OC19"/>
      <c r="OD19"/>
      <c r="OE19"/>
      <c r="OF19"/>
      <c r="OG19"/>
      <c r="OH19"/>
      <c r="OI19"/>
      <c r="OJ19"/>
      <c r="OK19"/>
      <c r="OL19"/>
      <c r="OM19"/>
      <c r="ON19"/>
      <c r="OO19"/>
      <c r="OP19"/>
      <c r="OQ19"/>
      <c r="OR19"/>
      <c r="OS19"/>
      <c r="OT19"/>
      <c r="OU19"/>
      <c r="OV19"/>
    </row>
    <row r="20" spans="1:412" s="52" customFormat="1" ht="18">
      <c r="A20" s="98"/>
      <c r="B20" s="98"/>
      <c r="C20" s="98"/>
      <c r="D20" s="98"/>
      <c r="E20" s="98"/>
      <c r="F20"/>
      <c r="G20" s="259"/>
      <c r="H20" s="259"/>
      <c r="I20" s="259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I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  <c r="KO20"/>
      <c r="KP20"/>
      <c r="KQ20"/>
      <c r="KR20"/>
      <c r="KS20"/>
      <c r="KT20"/>
      <c r="KU20"/>
      <c r="KV20"/>
      <c r="KW20"/>
      <c r="KX20"/>
      <c r="KY20"/>
      <c r="KZ20"/>
      <c r="LA20"/>
      <c r="LB20"/>
      <c r="LC20"/>
      <c r="LD20"/>
      <c r="LE20"/>
      <c r="LF20"/>
      <c r="LG20"/>
      <c r="LH20"/>
      <c r="LI20"/>
      <c r="LJ20"/>
      <c r="LK20"/>
      <c r="LL20"/>
      <c r="LM20"/>
      <c r="LN20"/>
      <c r="LO20"/>
      <c r="LP20"/>
      <c r="LQ20"/>
      <c r="LR20"/>
      <c r="LS20"/>
      <c r="LT20"/>
      <c r="LU20"/>
      <c r="LV20"/>
      <c r="LW20"/>
      <c r="LX20"/>
      <c r="LY20"/>
      <c r="LZ20"/>
      <c r="MA20"/>
      <c r="MB20"/>
      <c r="MC20"/>
      <c r="MD20"/>
      <c r="ME20"/>
      <c r="MF20"/>
      <c r="MG20"/>
      <c r="MH20"/>
      <c r="MI20"/>
      <c r="MJ20"/>
      <c r="MK20"/>
      <c r="ML20"/>
      <c r="MM20"/>
      <c r="MN20"/>
      <c r="MO20"/>
      <c r="MP20"/>
      <c r="MQ20"/>
      <c r="MR20"/>
      <c r="MS20"/>
      <c r="MT20"/>
      <c r="MU20"/>
      <c r="MV20"/>
      <c r="MW20"/>
      <c r="MX20"/>
      <c r="MY20"/>
      <c r="MZ20"/>
      <c r="NA20"/>
      <c r="NB20"/>
      <c r="NC20"/>
      <c r="ND20"/>
      <c r="NE20"/>
      <c r="NF20"/>
      <c r="NG20"/>
      <c r="NH20"/>
      <c r="NI20"/>
      <c r="NJ20"/>
      <c r="NK20"/>
      <c r="NL20"/>
      <c r="NM20"/>
      <c r="NN20"/>
      <c r="NO20"/>
      <c r="NP20"/>
      <c r="NQ20"/>
      <c r="NR20"/>
      <c r="NS20"/>
      <c r="NT20"/>
      <c r="NU20"/>
      <c r="NV20"/>
      <c r="NW20"/>
      <c r="NX20"/>
      <c r="NY20"/>
      <c r="NZ20"/>
      <c r="OA20"/>
      <c r="OB20"/>
      <c r="OC20"/>
      <c r="OD20"/>
      <c r="OE20"/>
      <c r="OF20"/>
      <c r="OG20"/>
      <c r="OH20"/>
      <c r="OI20"/>
      <c r="OJ20"/>
      <c r="OK20"/>
      <c r="OL20"/>
      <c r="OM20"/>
      <c r="ON20"/>
      <c r="OO20"/>
      <c r="OP20"/>
      <c r="OQ20"/>
      <c r="OR20"/>
      <c r="OS20"/>
      <c r="OT20"/>
      <c r="OU20"/>
      <c r="OV20"/>
    </row>
    <row r="21" spans="1:412" s="52" customFormat="1" ht="18">
      <c r="A21" s="98"/>
      <c r="B21" s="98"/>
      <c r="C21" s="98"/>
      <c r="D21" s="98"/>
      <c r="E21" s="98"/>
      <c r="F21"/>
      <c r="G21" s="259"/>
      <c r="H21" s="259"/>
      <c r="I21" s="259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G21"/>
      <c r="JH21"/>
      <c r="JI21"/>
      <c r="JJ21"/>
      <c r="JK21"/>
      <c r="JL21"/>
      <c r="JM21"/>
      <c r="JN21"/>
      <c r="JO21"/>
      <c r="JP21"/>
      <c r="JQ21"/>
      <c r="JR21"/>
      <c r="JS21"/>
      <c r="JT21"/>
      <c r="JU21"/>
      <c r="JV21"/>
      <c r="JW21"/>
      <c r="JX21"/>
      <c r="JY21"/>
      <c r="JZ21"/>
      <c r="KA21"/>
      <c r="KB21"/>
      <c r="KC21"/>
      <c r="KD21"/>
      <c r="KE21"/>
      <c r="KF21"/>
      <c r="KG21"/>
      <c r="KH21"/>
      <c r="KI21"/>
      <c r="KJ21"/>
      <c r="KK21"/>
      <c r="KL21"/>
      <c r="KM21"/>
      <c r="KN21"/>
      <c r="KO21"/>
      <c r="KP21"/>
      <c r="KQ21"/>
      <c r="KR21"/>
      <c r="KS21"/>
      <c r="KT21"/>
      <c r="KU21"/>
      <c r="KV21"/>
      <c r="KW21"/>
      <c r="KX21"/>
      <c r="KY21"/>
      <c r="KZ21"/>
      <c r="LA21"/>
      <c r="LB21"/>
      <c r="LC21"/>
      <c r="LD21"/>
      <c r="LE21"/>
      <c r="LF21"/>
      <c r="LG21"/>
      <c r="LH21"/>
      <c r="LI21"/>
      <c r="LJ21"/>
      <c r="LK21"/>
      <c r="LL21"/>
      <c r="LM21"/>
      <c r="LN21"/>
      <c r="LO21"/>
      <c r="LP21"/>
      <c r="LQ21"/>
      <c r="LR21"/>
      <c r="LS21"/>
      <c r="LT21"/>
      <c r="LU21"/>
      <c r="LV21"/>
      <c r="LW21"/>
      <c r="LX21"/>
      <c r="LY21"/>
      <c r="LZ21"/>
      <c r="MA21"/>
      <c r="MB21"/>
      <c r="MC21"/>
      <c r="MD21"/>
      <c r="ME21"/>
      <c r="MF21"/>
      <c r="MG21"/>
      <c r="MH21"/>
      <c r="MI21"/>
      <c r="MJ21"/>
      <c r="MK21"/>
      <c r="ML21"/>
      <c r="MM21"/>
      <c r="MN21"/>
      <c r="MO21"/>
      <c r="MP21"/>
      <c r="MQ21"/>
      <c r="MR21"/>
      <c r="MS21"/>
      <c r="MT21"/>
      <c r="MU21"/>
      <c r="MV21"/>
      <c r="MW21"/>
      <c r="MX21"/>
      <c r="MY21"/>
      <c r="MZ21"/>
      <c r="NA21"/>
      <c r="NB21"/>
      <c r="NC21"/>
      <c r="ND21"/>
      <c r="NE21"/>
      <c r="NF21"/>
      <c r="NG21"/>
      <c r="NH21"/>
      <c r="NI21"/>
      <c r="NJ21"/>
      <c r="NK21"/>
      <c r="NL21"/>
      <c r="NM21"/>
      <c r="NN21"/>
      <c r="NO21"/>
      <c r="NP21"/>
      <c r="NQ21"/>
      <c r="NR21"/>
      <c r="NS21"/>
      <c r="NT21"/>
      <c r="NU21"/>
      <c r="NV21"/>
      <c r="NW21"/>
      <c r="NX21"/>
      <c r="NY21"/>
      <c r="NZ21"/>
      <c r="OA21"/>
      <c r="OB21"/>
      <c r="OC21"/>
      <c r="OD21"/>
      <c r="OE21"/>
      <c r="OF21"/>
      <c r="OG21"/>
      <c r="OH21"/>
      <c r="OI21"/>
      <c r="OJ21"/>
      <c r="OK21"/>
      <c r="OL21"/>
      <c r="OM21"/>
      <c r="ON21"/>
      <c r="OO21"/>
      <c r="OP21"/>
      <c r="OQ21"/>
      <c r="OR21"/>
      <c r="OS21"/>
      <c r="OT21"/>
      <c r="OU21"/>
      <c r="OV21"/>
    </row>
    <row r="22" spans="1:412" s="52" customFormat="1" ht="18">
      <c r="A22" s="98"/>
      <c r="B22" s="98"/>
      <c r="C22" s="98"/>
      <c r="D22" s="98"/>
      <c r="E22" s="98"/>
      <c r="F22"/>
      <c r="G22" s="259"/>
      <c r="H22" s="259"/>
      <c r="I22" s="259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/>
      <c r="JH22"/>
      <c r="JI22"/>
      <c r="JJ22"/>
      <c r="JK22"/>
      <c r="JL22"/>
      <c r="JM22"/>
      <c r="JN22"/>
      <c r="JO22"/>
      <c r="JP22"/>
      <c r="JQ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  <c r="KM22"/>
      <c r="KN22"/>
      <c r="KO22"/>
      <c r="KP22"/>
      <c r="KQ22"/>
      <c r="KR22"/>
      <c r="KS22"/>
      <c r="KT22"/>
      <c r="KU22"/>
      <c r="KV22"/>
      <c r="KW22"/>
      <c r="KX22"/>
      <c r="KY22"/>
      <c r="KZ22"/>
      <c r="LA22"/>
      <c r="LB22"/>
      <c r="LC22"/>
      <c r="LD22"/>
      <c r="LE22"/>
      <c r="LF22"/>
      <c r="LG22"/>
      <c r="LH22"/>
      <c r="LI22"/>
      <c r="LJ22"/>
      <c r="LK22"/>
      <c r="LL22"/>
      <c r="LM22"/>
      <c r="LN22"/>
      <c r="LO22"/>
      <c r="LP22"/>
      <c r="LQ22"/>
      <c r="LR22"/>
      <c r="LS22"/>
      <c r="LT22"/>
      <c r="LU22"/>
      <c r="LV22"/>
      <c r="LW22"/>
      <c r="LX22"/>
      <c r="LY22"/>
      <c r="LZ22"/>
      <c r="MA22"/>
      <c r="MB22"/>
      <c r="MC22"/>
      <c r="MD22"/>
      <c r="ME22"/>
      <c r="MF22"/>
      <c r="MG22"/>
      <c r="MH22"/>
      <c r="MI22"/>
      <c r="MJ22"/>
      <c r="MK22"/>
      <c r="ML22"/>
      <c r="MM22"/>
      <c r="MN22"/>
      <c r="MO22"/>
      <c r="MP22"/>
      <c r="MQ22"/>
      <c r="MR22"/>
      <c r="MS22"/>
      <c r="MT22"/>
      <c r="MU22"/>
      <c r="MV22"/>
      <c r="MW22"/>
      <c r="MX22"/>
      <c r="MY22"/>
      <c r="MZ22"/>
      <c r="NA22"/>
      <c r="NB22"/>
      <c r="NC22"/>
      <c r="ND22"/>
      <c r="NE22"/>
      <c r="NF22"/>
      <c r="NG22"/>
      <c r="NH22"/>
      <c r="NI22"/>
      <c r="NJ22"/>
      <c r="NK22"/>
      <c r="NL22"/>
      <c r="NM22"/>
      <c r="NN22"/>
      <c r="NO22"/>
      <c r="NP22"/>
      <c r="NQ22"/>
      <c r="NR22"/>
      <c r="NS22"/>
      <c r="NT22"/>
      <c r="NU22"/>
      <c r="NV22"/>
      <c r="NW22"/>
      <c r="NX22"/>
      <c r="NY22"/>
      <c r="NZ22"/>
      <c r="OA22"/>
      <c r="OB22"/>
      <c r="OC22"/>
      <c r="OD22"/>
      <c r="OE22"/>
      <c r="OF22"/>
      <c r="OG22"/>
      <c r="OH22"/>
      <c r="OI22"/>
      <c r="OJ22"/>
      <c r="OK22"/>
      <c r="OL22"/>
      <c r="OM22"/>
      <c r="ON22"/>
      <c r="OO22"/>
      <c r="OP22"/>
      <c r="OQ22"/>
      <c r="OR22"/>
      <c r="OS22"/>
      <c r="OT22"/>
      <c r="OU22"/>
      <c r="OV22"/>
    </row>
    <row r="23" spans="1:412" s="52" customFormat="1" ht="18">
      <c r="A23" s="98"/>
      <c r="B23" s="98"/>
      <c r="C23" s="98"/>
      <c r="D23" s="98"/>
      <c r="E23" s="98"/>
      <c r="F23"/>
      <c r="G23" s="259"/>
      <c r="H23" s="259"/>
      <c r="I23" s="259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I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  <c r="OU23"/>
      <c r="OV23"/>
    </row>
    <row r="24" spans="1:412" s="52" customFormat="1" ht="18">
      <c r="A24" s="99"/>
      <c r="B24" s="98"/>
      <c r="C24" s="100"/>
      <c r="D24" s="98"/>
      <c r="E24" s="98"/>
      <c r="F24"/>
      <c r="G24" s="259"/>
      <c r="H24" s="259"/>
      <c r="I24" s="259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I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/>
      <c r="MP24"/>
      <c r="MQ24"/>
      <c r="MR24"/>
      <c r="MS24"/>
      <c r="MT24"/>
      <c r="MU24"/>
      <c r="MV24"/>
      <c r="MW24"/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/>
      <c r="ON24"/>
      <c r="OO24"/>
      <c r="OP24"/>
      <c r="OQ24"/>
      <c r="OR24"/>
      <c r="OS24"/>
      <c r="OT24"/>
      <c r="OU24"/>
      <c r="OV24"/>
    </row>
    <row r="25" spans="1:412" s="52" customFormat="1" ht="18">
      <c r="A25" s="99"/>
      <c r="B25" s="98"/>
      <c r="C25" s="101"/>
      <c r="D25" s="98"/>
      <c r="E25" s="98"/>
      <c r="F25"/>
      <c r="G25" s="259"/>
      <c r="H25" s="259"/>
      <c r="I25" s="259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I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</row>
    <row r="26" spans="1:412" s="52" customFormat="1" ht="18">
      <c r="A26" s="99"/>
      <c r="B26" s="98"/>
      <c r="C26" s="101"/>
      <c r="D26" s="98"/>
      <c r="E26" s="98"/>
      <c r="F26"/>
      <c r="G26" s="259"/>
      <c r="H26" s="259"/>
      <c r="I26" s="259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I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</row>
    <row r="27" spans="1:412" s="52" customFormat="1" ht="18">
      <c r="A27" s="98"/>
      <c r="B27" s="98"/>
      <c r="C27" s="98"/>
      <c r="D27" s="98"/>
      <c r="E27" s="98"/>
      <c r="F27"/>
      <c r="G27" s="259"/>
      <c r="H27" s="259"/>
      <c r="I27" s="259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</row>
    <row r="28" spans="1:412" s="52" customFormat="1" ht="18">
      <c r="A28" s="98"/>
      <c r="B28" s="98"/>
      <c r="C28" s="98"/>
      <c r="D28" s="98"/>
      <c r="E28" s="98"/>
      <c r="F28"/>
      <c r="G28" s="259"/>
      <c r="H28" s="259"/>
      <c r="I28" s="259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</row>
    <row r="29" spans="1:412" s="52" customFormat="1" ht="18">
      <c r="A29" s="98"/>
      <c r="B29" s="98"/>
      <c r="C29" s="98"/>
      <c r="D29" s="98"/>
      <c r="E29" s="98"/>
      <c r="F29"/>
      <c r="G29" s="259"/>
      <c r="H29" s="259"/>
      <c r="I29" s="25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</row>
    <row r="30" spans="1:412" s="52" customFormat="1" ht="18">
      <c r="A30" s="98"/>
      <c r="B30" s="98"/>
      <c r="C30" s="98"/>
      <c r="D30" s="98"/>
      <c r="E30" s="98"/>
      <c r="F30"/>
      <c r="G30" s="259"/>
      <c r="H30" s="259"/>
      <c r="I30" s="259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</row>
    <row r="31" spans="1:412" s="52" customFormat="1" ht="18">
      <c r="A31" s="98"/>
      <c r="B31" s="98"/>
      <c r="C31" s="98"/>
      <c r="D31" s="98"/>
      <c r="E31" s="98"/>
      <c r="F31"/>
      <c r="G31" s="259"/>
      <c r="H31" s="259"/>
      <c r="I31" s="259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</row>
    <row r="32" spans="1:412" s="52" customFormat="1" ht="18">
      <c r="A32" s="98"/>
      <c r="B32" s="98"/>
      <c r="C32" s="98"/>
      <c r="D32" s="98"/>
      <c r="E32" s="98"/>
      <c r="F32"/>
      <c r="G32" s="259"/>
      <c r="H32" s="259"/>
      <c r="I32" s="259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</row>
    <row r="33" spans="1:412" s="52" customFormat="1" ht="18">
      <c r="A33" s="98"/>
      <c r="B33" s="98"/>
      <c r="C33" s="98"/>
      <c r="D33" s="98"/>
      <c r="E33" s="98"/>
      <c r="F33"/>
      <c r="G33" s="259"/>
      <c r="H33" s="259"/>
      <c r="I33" s="259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</row>
    <row r="34" spans="1:412" s="52" customFormat="1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</row>
    <row r="35" spans="1:412" s="52" customFormat="1">
      <c r="A35" s="77" t="s">
        <v>105</v>
      </c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I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</row>
    <row r="36" spans="1:412" s="52" customFormat="1" ht="9.75" customHeight="1" thickBot="1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I36"/>
      <c r="JJ36"/>
      <c r="JK36"/>
      <c r="JL36"/>
      <c r="JM36"/>
      <c r="JN36"/>
      <c r="JO36"/>
      <c r="JP36"/>
      <c r="JQ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</row>
    <row r="37" spans="1:412" s="52" customFormat="1">
      <c r="A37" s="58" t="s">
        <v>38</v>
      </c>
      <c r="B37" s="58" t="s">
        <v>60</v>
      </c>
      <c r="C37" s="58" t="s">
        <v>102</v>
      </c>
      <c r="D37" s="58" t="s">
        <v>39</v>
      </c>
      <c r="E37" s="58" t="s">
        <v>103</v>
      </c>
      <c r="F37"/>
      <c r="G37" s="58" t="s">
        <v>107</v>
      </c>
      <c r="H37" s="80" t="s">
        <v>108</v>
      </c>
      <c r="I37" s="80" t="s">
        <v>109</v>
      </c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I37"/>
      <c r="JJ37"/>
      <c r="JK37"/>
      <c r="JL37"/>
      <c r="JM37"/>
      <c r="JN37"/>
      <c r="JO37"/>
      <c r="JP37"/>
      <c r="JQ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</row>
    <row r="38" spans="1:412" s="52" customFormat="1" ht="23.25" customHeight="1">
      <c r="A38" s="63"/>
      <c r="B38" s="55"/>
      <c r="C38" s="56"/>
      <c r="D38" s="55"/>
      <c r="E38" s="54"/>
      <c r="F38"/>
      <c r="G38" s="54"/>
      <c r="H38" s="54"/>
      <c r="I38" s="54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I38"/>
      <c r="JJ38"/>
      <c r="JK38"/>
      <c r="JL38"/>
      <c r="JM38"/>
      <c r="JN38"/>
      <c r="JO38"/>
      <c r="JP38"/>
      <c r="JQ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</row>
    <row r="39" spans="1:412" s="52" customFormat="1" ht="23.25" customHeight="1">
      <c r="A39" s="63"/>
      <c r="B39" s="55"/>
      <c r="C39" s="56"/>
      <c r="D39" s="55"/>
      <c r="E39" s="54"/>
      <c r="F39"/>
      <c r="G39" s="54"/>
      <c r="H39" s="54"/>
      <c r="I39" s="54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I39"/>
      <c r="JJ39"/>
      <c r="JK39"/>
      <c r="JL39"/>
      <c r="JM39"/>
      <c r="JN39"/>
      <c r="JO39"/>
      <c r="JP39"/>
      <c r="JQ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</row>
    <row r="40" spans="1:412" ht="23.25" customHeight="1">
      <c r="A40" s="63"/>
      <c r="B40" s="55"/>
      <c r="C40" s="56"/>
      <c r="D40" s="55"/>
      <c r="E40" s="54"/>
      <c r="G40" s="54"/>
      <c r="H40" s="54"/>
      <c r="I40" s="54"/>
    </row>
    <row r="41" spans="1:412" ht="23.25" customHeight="1">
      <c r="A41" s="63"/>
      <c r="B41" s="57"/>
      <c r="C41" s="56"/>
      <c r="D41" s="55"/>
      <c r="E41" s="54"/>
      <c r="G41" s="54"/>
      <c r="H41" s="54"/>
      <c r="I41" s="54"/>
    </row>
    <row r="42" spans="1:412" ht="23.25" customHeight="1">
      <c r="A42" s="63"/>
      <c r="B42" s="57"/>
      <c r="C42" s="56"/>
      <c r="D42" s="55"/>
      <c r="E42" s="54"/>
      <c r="G42" s="54"/>
      <c r="H42" s="54"/>
      <c r="I42" s="54"/>
    </row>
    <row r="43" spans="1:412" ht="23.25" customHeight="1">
      <c r="A43" s="63"/>
      <c r="B43" s="57"/>
      <c r="C43" s="56"/>
      <c r="D43" s="55"/>
      <c r="E43" s="54"/>
      <c r="G43" s="54"/>
      <c r="H43" s="54"/>
      <c r="I43" s="54"/>
    </row>
    <row r="44" spans="1:412" ht="23.25" customHeight="1">
      <c r="A44" s="63"/>
      <c r="B44" s="57"/>
      <c r="C44" s="56"/>
      <c r="D44" s="55"/>
      <c r="E44" s="54"/>
      <c r="G44" s="54"/>
      <c r="H44" s="54"/>
      <c r="I44" s="54"/>
    </row>
    <row r="45" spans="1:412" ht="23.25" customHeight="1">
      <c r="A45" s="54"/>
      <c r="B45" s="57"/>
      <c r="C45" s="56"/>
      <c r="D45" s="55"/>
      <c r="E45" s="54"/>
      <c r="G45" s="54"/>
      <c r="H45" s="54"/>
      <c r="I45" s="54"/>
    </row>
    <row r="46" spans="1:412" ht="23.25" customHeight="1">
      <c r="A46" s="54"/>
      <c r="B46" s="57"/>
      <c r="C46" s="56"/>
      <c r="D46" s="55"/>
      <c r="E46" s="54"/>
      <c r="G46" s="54"/>
      <c r="H46" s="54"/>
      <c r="I46" s="54"/>
    </row>
    <row r="47" spans="1:412" ht="23.25" customHeight="1">
      <c r="A47" s="54"/>
      <c r="B47" s="57"/>
      <c r="C47" s="56"/>
      <c r="D47" s="55"/>
      <c r="E47" s="54"/>
      <c r="G47" s="54"/>
      <c r="H47" s="54"/>
      <c r="I47" s="54"/>
    </row>
    <row r="48" spans="1:412" ht="23.25" customHeight="1">
      <c r="A48" s="54"/>
      <c r="B48" s="57"/>
      <c r="C48" s="56"/>
      <c r="D48" s="57"/>
      <c r="E48" s="54"/>
      <c r="G48" s="54"/>
      <c r="H48" s="54"/>
      <c r="I48" s="54"/>
    </row>
    <row r="49" spans="1:10" ht="23.25" customHeight="1">
      <c r="A49" s="54"/>
      <c r="B49" s="57"/>
      <c r="C49" s="56"/>
      <c r="D49" s="57"/>
      <c r="E49" s="54"/>
      <c r="G49" s="54"/>
      <c r="H49" s="54"/>
      <c r="I49" s="54"/>
    </row>
    <row r="50" spans="1:10" ht="23.25" customHeight="1">
      <c r="A50" s="63"/>
      <c r="B50" s="57"/>
      <c r="C50" s="56"/>
      <c r="D50" s="55"/>
      <c r="E50" s="54"/>
      <c r="G50" s="54"/>
      <c r="H50" s="54"/>
      <c r="I50" s="54"/>
    </row>
    <row r="51" spans="1:10" ht="23.25" customHeight="1">
      <c r="A51" s="54"/>
      <c r="B51" s="57"/>
      <c r="C51" s="56"/>
      <c r="D51" s="55"/>
      <c r="E51" s="54"/>
      <c r="G51" s="54"/>
      <c r="H51" s="54"/>
      <c r="I51" s="54"/>
    </row>
    <row r="52" spans="1:10" ht="23.25" customHeight="1">
      <c r="A52" s="54"/>
      <c r="B52" s="57"/>
      <c r="C52" s="56"/>
      <c r="D52" s="55"/>
      <c r="E52" s="54"/>
      <c r="G52" s="54"/>
      <c r="H52" s="54"/>
      <c r="I52" s="54"/>
    </row>
    <row r="53" spans="1:10" ht="23.25" customHeight="1">
      <c r="A53" s="54"/>
      <c r="B53" s="57"/>
      <c r="C53" s="56"/>
      <c r="D53" s="55"/>
      <c r="E53" s="54"/>
      <c r="G53" s="54"/>
      <c r="H53" s="54"/>
      <c r="I53" s="54"/>
    </row>
    <row r="54" spans="1:10" ht="23.25" customHeight="1">
      <c r="A54" s="54"/>
      <c r="B54" s="57"/>
      <c r="C54" s="56"/>
      <c r="D54" s="57"/>
      <c r="E54" s="54"/>
      <c r="G54" s="54"/>
      <c r="H54" s="54"/>
      <c r="I54" s="54"/>
    </row>
    <row r="55" spans="1:10" ht="23.25" customHeight="1">
      <c r="A55" s="54"/>
      <c r="B55" s="57"/>
      <c r="C55" s="56"/>
      <c r="D55" s="57"/>
      <c r="E55" s="54"/>
      <c r="G55" s="54"/>
      <c r="H55" s="54"/>
      <c r="I55" s="54"/>
    </row>
    <row r="56" spans="1:10" ht="23.25" customHeight="1">
      <c r="A56" s="54"/>
      <c r="B56" s="57"/>
      <c r="C56" s="56"/>
      <c r="D56" s="57"/>
      <c r="E56" s="54"/>
      <c r="G56" s="54"/>
      <c r="H56" s="54"/>
      <c r="I56" s="54"/>
    </row>
    <row r="57" spans="1:10" ht="16.5">
      <c r="A57" s="84"/>
      <c r="B57" s="85"/>
      <c r="C57" s="86"/>
      <c r="D57" s="85"/>
      <c r="E57" s="84"/>
      <c r="G57" s="84"/>
      <c r="H57" s="84"/>
      <c r="I57" s="84"/>
    </row>
    <row r="58" spans="1:10" ht="16.5">
      <c r="A58" s="84"/>
      <c r="B58" s="85"/>
      <c r="C58" s="86"/>
      <c r="D58" s="85"/>
      <c r="E58" s="84"/>
      <c r="G58" s="84"/>
      <c r="H58" s="84"/>
      <c r="I58" s="84"/>
    </row>
    <row r="59" spans="1:10">
      <c r="G59" s="238" t="s">
        <v>110</v>
      </c>
      <c r="H59" s="238"/>
      <c r="I59" s="238"/>
      <c r="J59" s="238"/>
    </row>
    <row r="60" spans="1:10">
      <c r="G60" s="81" t="s">
        <v>36</v>
      </c>
      <c r="H60" s="81"/>
      <c r="I60" s="81"/>
      <c r="J60" s="82"/>
    </row>
    <row r="61" spans="1:10">
      <c r="G61" s="82"/>
      <c r="H61" s="82" t="s">
        <v>96</v>
      </c>
      <c r="I61" s="82"/>
      <c r="J61" s="82"/>
    </row>
    <row r="62" spans="1:10">
      <c r="G62" s="82" t="s">
        <v>111</v>
      </c>
      <c r="H62" s="83"/>
      <c r="I62" s="83"/>
      <c r="J62" s="82"/>
    </row>
    <row r="64" spans="1:10">
      <c r="G64" s="238" t="s">
        <v>35</v>
      </c>
      <c r="H64" s="238"/>
      <c r="I64" s="238"/>
      <c r="J64" s="238"/>
    </row>
    <row r="65" spans="1:10">
      <c r="G65" s="81" t="s">
        <v>36</v>
      </c>
      <c r="H65" s="81"/>
      <c r="I65" s="81"/>
      <c r="J65" s="82"/>
    </row>
    <row r="66" spans="1:10">
      <c r="G66" s="82"/>
      <c r="H66" s="82" t="s">
        <v>156</v>
      </c>
      <c r="I66" s="82"/>
      <c r="J66" s="82"/>
    </row>
    <row r="67" spans="1:10">
      <c r="G67" s="82" t="s">
        <v>111</v>
      </c>
      <c r="H67" s="83"/>
      <c r="I67" s="83"/>
      <c r="J67" s="82"/>
    </row>
    <row r="72" spans="1:10">
      <c r="A72" t="s">
        <v>90</v>
      </c>
      <c r="G72" t="s">
        <v>93</v>
      </c>
    </row>
    <row r="73" spans="1:10">
      <c r="A73" t="s">
        <v>96</v>
      </c>
      <c r="G73" t="s">
        <v>97</v>
      </c>
    </row>
    <row r="74" spans="1:10">
      <c r="A74" t="s">
        <v>97</v>
      </c>
      <c r="G74" t="s">
        <v>156</v>
      </c>
    </row>
    <row r="75" spans="1:10">
      <c r="A75" t="s">
        <v>92</v>
      </c>
    </row>
    <row r="76" spans="1:10">
      <c r="A76" t="s">
        <v>156</v>
      </c>
    </row>
    <row r="77" spans="1:10">
      <c r="A77" t="s">
        <v>98</v>
      </c>
    </row>
  </sheetData>
  <mergeCells count="27">
    <mergeCell ref="G26:I26"/>
    <mergeCell ref="B5:C5"/>
    <mergeCell ref="B6:C6"/>
    <mergeCell ref="G32:I32"/>
    <mergeCell ref="G28:I28"/>
    <mergeCell ref="G29:I29"/>
    <mergeCell ref="G30:I30"/>
    <mergeCell ref="G31:I31"/>
    <mergeCell ref="G14:I14"/>
    <mergeCell ref="G13:I13"/>
    <mergeCell ref="G12:I12"/>
    <mergeCell ref="G59:J59"/>
    <mergeCell ref="G64:J64"/>
    <mergeCell ref="G11:I11"/>
    <mergeCell ref="G15:I15"/>
    <mergeCell ref="G16:I16"/>
    <mergeCell ref="G17:I17"/>
    <mergeCell ref="G18:I18"/>
    <mergeCell ref="G19:I19"/>
    <mergeCell ref="G20:I20"/>
    <mergeCell ref="G21:I21"/>
    <mergeCell ref="G22:I22"/>
    <mergeCell ref="G33:I33"/>
    <mergeCell ref="G27:I27"/>
    <mergeCell ref="G23:I23"/>
    <mergeCell ref="G24:I24"/>
    <mergeCell ref="G25:I25"/>
  </mergeCells>
  <dataValidations disablePrompts="1" count="2">
    <dataValidation type="list" allowBlank="1" showInputMessage="1" showErrorMessage="1" sqref="H61">
      <formula1>$A$73:$A$81</formula1>
    </dataValidation>
    <dataValidation type="list" allowBlank="1" showInputMessage="1" showErrorMessage="1" sqref="H66">
      <formula1>$G$73:$G$80</formula1>
    </dataValidation>
  </dataValidations>
  <pageMargins left="0.7" right="0.7" top="0.75" bottom="0.75" header="0.3" footer="0.3"/>
  <pageSetup scale="53" fitToHeight="0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3</vt:i4>
      </vt:variant>
    </vt:vector>
  </HeadingPairs>
  <TitlesOfParts>
    <vt:vector size="8" baseType="lpstr">
      <vt:lpstr>caratula</vt:lpstr>
      <vt:lpstr>LMP</vt:lpstr>
      <vt:lpstr>BD C10</vt:lpstr>
      <vt:lpstr>Solicitud</vt:lpstr>
      <vt:lpstr>LMR</vt:lpstr>
      <vt:lpstr>caratula!Área_de_impresión</vt:lpstr>
      <vt:lpstr>LMP!Área_de_impresión</vt:lpstr>
      <vt:lpstr>LMR!Área_de_impresión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Usager</dc:creator>
  <cp:lastModifiedBy>Enmanuel</cp:lastModifiedBy>
  <cp:lastPrinted>2019-09-12T16:20:11Z</cp:lastPrinted>
  <dcterms:created xsi:type="dcterms:W3CDTF">2015-04-10T21:22:40Z</dcterms:created>
  <dcterms:modified xsi:type="dcterms:W3CDTF">2019-09-12T16:32:35Z</dcterms:modified>
</cp:coreProperties>
</file>